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584796d2614f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744dbdce3a94906"/>
    <x:sheet xmlns:r="http://schemas.openxmlformats.org/officeDocument/2006/relationships" name="Drawings" sheetId="2" r:id="R45b63c49162b4d2e"/>
    <x:sheet xmlns:r="http://schemas.openxmlformats.org/officeDocument/2006/relationships" name="Takeoff" sheetId="3" r:id="R2558c58d752b4efc"/>
    <x:sheet xmlns:r="http://schemas.openxmlformats.org/officeDocument/2006/relationships" name="Rates" sheetId="4" r:id="Rc9588a4702af4b31"/>
    <x:sheet xmlns:r="http://schemas.openxmlformats.org/officeDocument/2006/relationships" name="Queries" sheetId="5" r:id="R573c77b502774ff6"/>
    <x:sheet xmlns:r="http://schemas.openxmlformats.org/officeDocument/2006/relationships" name="Codes" sheetId="6" r:id="R42317ab226904121"/>
    <x:sheet xmlns:r="http://schemas.openxmlformats.org/officeDocument/2006/relationships" name="Revision" sheetId="7" r:id="R0aa396c610e247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"/>
    <x:numFmt numFmtId="201" formatCode="yyyy-mm-dd"/>
    <x:numFmt numFmtId="202" formatCode="#,##0.000"/>
    <x:numFmt numFmtId="203" formatCode="0.0%"/>
    <x:numFmt numFmtId="204" formatCode="@"/>
  </x:numFmts>
  <x:fonts count="6">
    <x:font>
      <x:sz val="11"/>
      <x:name val="Carlito"/>
    </x:font>
    <x:font>
      <x:sz val="11"/>
      <x:color rgb="FF202C38"/>
      <x:name val="Arial"/>
    </x:font>
    <x:font>
      <x:b/>
      <x:sz val="15"/>
      <x:color rgb="FF202C38"/>
      <x:name val="Arial"/>
    </x:font>
    <x:font>
      <x:sz val="10"/>
      <x:color rgb="FF596674"/>
      <x:name val="Arial"/>
    </x:font>
    <x:font>
      <x:b/>
      <x:sz val="11"/>
      <x:color rgb="FFFFFFFF"/>
      <x:name val="Arial"/>
    </x:font>
    <x:font>
      <x:sz val="11"/>
      <x:color rgb="FF19529C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B"/>
      </x:patternFill>
    </x:fill>
    <x:fill>
      <x:patternFill patternType="solid">
        <x:fgColor rgb="FFF0F3F5"/>
      </x:patternFill>
    </x:fill>
    <x:fill>
      <x:patternFill patternType="solid">
        <x:fgColor rgb="FFFFF1C8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4" fontId="5" fillId="0" borderId="0" xfId="0" applyNumberFormat="1" applyFont="1" applyFill="1" applyBorder="1"/>
    <x:xf numFmtId="0" fontId="1" fillId="4" borderId="0" xfId="0" applyNumberFormat="1" applyFont="1" applyFill="1" applyBorder="1"/>
    <x:xf numFmtId="201" fontId="1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b907609bec405a" /><Relationship Type="http://schemas.openxmlformats.org/officeDocument/2006/relationships/theme" Target="/xl/theme/theme1.xml" Id="R2ff89d8f209743a1" /><Relationship Type="http://schemas.openxmlformats.org/officeDocument/2006/relationships/sharedStrings" Target="/xl/sharedStrings.xml" Id="R4e4a19ce79de4dbd" /><Relationship Type="http://schemas.openxmlformats.org/officeDocument/2006/relationships/worksheet" Target="/xl/worksheets/sheet1.xml" Id="R3744dbdce3a94906" /><Relationship Type="http://schemas.openxmlformats.org/officeDocument/2006/relationships/worksheet" Target="/xl/worksheets/sheet2.xml" Id="R45b63c49162b4d2e" /><Relationship Type="http://schemas.openxmlformats.org/officeDocument/2006/relationships/worksheet" Target="/xl/worksheets/sheet3.xml" Id="R2558c58d752b4efc" /><Relationship Type="http://schemas.openxmlformats.org/officeDocument/2006/relationships/worksheet" Target="/xl/worksheets/sheet4.xml" Id="Rc9588a4702af4b31" /><Relationship Type="http://schemas.openxmlformats.org/officeDocument/2006/relationships/worksheet" Target="/xl/worksheets/sheet5.xml" Id="R573c77b502774ff6" /><Relationship Type="http://schemas.openxmlformats.org/officeDocument/2006/relationships/worksheet" Target="/xl/worksheets/sheet6.xml" Id="R42317ab226904121" /><Relationship Type="http://schemas.openxmlformats.org/officeDocument/2006/relationships/worksheet" Target="/xl/worksheets/sheet7.xml" Id="R0aa396c610e247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49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2" t="str">
        <x:v>Estimate basis and priced scope</x:v>
      </x:c>
      <x:c r="B1" s="1"/>
      <x:c r="C1" s="1"/>
      <x:c r="D1" s="1"/>
      <x:c r="E1" s="1"/>
    </x:row>
    <x:row r="2">
      <x:c r="A2" s="1"/>
      <x:c r="B2" s="1"/>
      <x:c r="C2" s="1"/>
      <x:c r="D2" s="1"/>
      <x:c r="E2" s="1"/>
    </x:row>
    <x:row r="3">
      <x:c r="A3" s="1" t="str">
        <x:v>Optional template. Use supplied project conventions; keep unpriced scope visible.</x:v>
      </x:c>
      <x:c r="B3" s="1"/>
      <x:c r="C3" s="1"/>
      <x:c r="D3" s="1"/>
      <x:c r="E3" s="1"/>
    </x:row>
    <x:row r="4">
      <x:c r="A4" s="1" t="str">
        <x:v>100 reserved lines per detail sheet; extend all linked ranges together.</x:v>
      </x:c>
      <x:c r="B4" s="1"/>
      <x:c r="C4" s="1"/>
      <x:c r="D4" s="1"/>
      <x:c r="E4" s="1"/>
    </x:row>
    <x:row r="5">
      <x:c r="A5" s="1"/>
      <x:c r="B5" s="1"/>
      <x:c r="C5" s="1"/>
      <x:c r="D5" s="1"/>
      <x:c r="E5" s="1"/>
    </x:row>
    <x:row r="6">
      <x:c r="A6" s="1" t="str">
        <x:v>Project / scope</x:v>
      </x:c>
      <x:c r="B6" s="17"/>
      <x:c r="C6" s="1"/>
      <x:c r="D6" s="1"/>
      <x:c r="E6" s="1"/>
    </x:row>
    <x:row r="7">
      <x:c r="A7" s="1" t="str">
        <x:v>Country / locality</x:v>
      </x:c>
      <x:c r="B7" s="17"/>
      <x:c r="C7" s="1"/>
      <x:c r="D7" s="1"/>
      <x:c r="E7" s="1"/>
    </x:row>
    <x:row r="8">
      <x:c r="A8" s="1" t="str">
        <x:v>Currency</x:v>
      </x:c>
      <x:c r="B8" s="17"/>
      <x:c r="C8" s="1"/>
      <x:c r="D8" s="1"/>
      <x:c r="E8" s="1"/>
    </x:row>
    <x:row r="9">
      <x:c r="A9" s="1" t="str">
        <x:v>Rate base date</x:v>
      </x:c>
      <x:c r="B9" s="18"/>
      <x:c r="C9" s="1"/>
      <x:c r="D9" s="1"/>
      <x:c r="E9" s="1"/>
    </x:row>
    <x:row r="10">
      <x:c r="A10" s="1" t="str">
        <x:v>Measurement standard / edition</x:v>
      </x:c>
      <x:c r="B10" s="17"/>
      <x:c r="C10" s="1"/>
      <x:c r="D10" s="1"/>
      <x:c r="E10" s="1"/>
    </x:row>
    <x:row r="11">
      <x:c r="A11" s="1" t="str">
        <x:v>Drawing issue / exclusions</x:v>
      </x:c>
      <x:c r="B11" s="17"/>
      <x:c r="C11" s="1"/>
      <x:c r="D11" s="1"/>
      <x:c r="E11" s="1"/>
    </x:row>
    <x:row r="12">
      <x:c r="A12" s="1"/>
      <x:c r="B12" s="1"/>
      <x:c r="C12" s="1"/>
      <x:c r="D12" s="1"/>
      <x:c r="E12" s="1"/>
    </x:row>
    <x:row r="13">
      <x:c r="A13" s="1"/>
      <x:c r="B13" s="1"/>
      <x:c r="C13" s="1"/>
      <x:c r="D13" s="1"/>
      <x:c r="E13" s="1"/>
    </x:row>
    <x:row r="14">
      <x:c r="A14" s="1"/>
      <x:c r="B14" s="1"/>
      <x:c r="C14" s="1"/>
      <x:c r="D14" s="1"/>
      <x:c r="E14" s="1"/>
    </x:row>
    <x:row r="15" ht="28" customHeight="1">
      <x:c r="A15" s="1" t="str">
        <x:v>Measured / supported-price subtotal</x:v>
      </x:c>
      <x:c r="B15" s="12" t="str">
        <x:f>IF(COUNTA('Takeoff'!$A$7:$A$106)=0,"",SUMIFS('Takeoff'!$O$7:$O$106,'Takeoff'!$I$7:$I$106,"Measured",'Takeoff'!$N$7:$N$106,"Supported"))</x:f>
      </x:c>
      <x:c r="C15" s="1"/>
      <x:c r="D15" s="1"/>
      <x:c r="E15" s="1"/>
    </x:row>
    <x:row r="16" ht="28" customHeight="1">
      <x:c r="A16" s="1" t="str">
        <x:v>Provisional / scenario-price subtotal</x:v>
      </x:c>
      <x:c r="B16" s="12" t="str">
        <x:f>IF(COUNTA('Takeoff'!$A$7:$A$106)=0,"",SUM('Takeoff'!$O$7:$O$106)-B15)</x:f>
      </x:c>
      <x:c r="C16" s="1"/>
      <x:c r="D16" s="1"/>
      <x:c r="E16" s="1"/>
    </x:row>
    <x:row r="17" ht="28" customHeight="1">
      <x:c r="A17" s="1" t="str">
        <x:v>Included-cost subtotal</x:v>
      </x:c>
      <x:c r="B17" s="12" t="str">
        <x:f>IF(COUNTA('Takeoff'!$A$7:$A$106)=0,"",SUM('Takeoff'!$O$7:$O$106))</x:f>
      </x:c>
      <x:c r="C17" s="1"/>
      <x:c r="D17" s="1"/>
      <x:c r="E17" s="1"/>
    </x:row>
    <x:row r="18" ht="28" customHeight="1">
      <x:c r="A18" s="1" t="str">
        <x:v>Lines with unresolved inputs</x:v>
      </x:c>
      <x:c r="B18" s="1" t="str">
        <x:f>IF(COUNTA('Takeoff'!$A$7:$A$106)=0,"",COUNTIF('Takeoff'!$P$7:$P$106,"?*"))</x:f>
      </x:c>
      <x:c r="C18" s="1"/>
      <x:c r="D18" s="1"/>
      <x:c r="E18" s="1"/>
    </x:row>
    <x:row r="19" ht="28" customHeight="1">
      <x:c r="A19" s="1" t="str">
        <x:v>Scope / price completeness</x:v>
      </x:c>
      <x:c r="B19" s="1" t="str">
        <x:f>IF(COUNTA('Takeoff'!$A$7:$A$106)=0,"No estimate entered",IF(B18&gt;0,"Partial: unresolved quantity or pricing inputs","Check drawing coverage and exclusions"))</x:f>
        <x:v>No estimate entered</x:v>
      </x:c>
      <x:c r="C19" s="1"/>
      <x:c r="D19" s="1"/>
      <x:c r="E19" s="1"/>
    </x:row>
    <x:row r="20">
      <x:c r="A20" s="1"/>
      <x:c r="B20" s="1"/>
      <x:c r="C20" s="1"/>
      <x:c r="D20" s="1"/>
      <x:c r="E20" s="1"/>
    </x:row>
    <x:row r="21">
      <x:c r="A21" s="1"/>
      <x:c r="B21" s="1"/>
      <x:c r="C21" s="1"/>
      <x:c r="D21" s="1"/>
      <x:c r="E21" s="1"/>
    </x:row>
    <x:row r="22">
      <x:c r="A22" s="1"/>
      <x:c r="B22" s="1"/>
      <x:c r="C22" s="1"/>
      <x:c r="D22" s="1"/>
      <x:c r="E22" s="1"/>
    </x:row>
    <x:row r="23" ht="28" customHeight="1">
      <x:c r="A23" s="1" t="str">
        <x:v>Confirmed code allocations</x:v>
      </x:c>
      <x:c r="B23" s="12" t="str">
        <x:f>IF(COUNTA('Takeoff'!$A$7:$A$106)=0,"",SUMIF('Codes'!$D$7:$D$106,"Confirmed",'Codes'!$H$7:$H$106))</x:f>
      </x:c>
      <x:c r="C23" s="1"/>
      <x:c r="D23" s="1"/>
      <x:c r="E23" s="1"/>
    </x:row>
    <x:row r="24" ht="28" customHeight="1">
      <x:c r="A24" s="1" t="str">
        <x:v>Provisional code allocations</x:v>
      </x:c>
      <x:c r="B24" s="12" t="str">
        <x:f>IF(COUNTA('Takeoff'!$A$7:$A$106)=0,"",SUMIF('Codes'!$D$7:$D$106,"Provisional",'Codes'!$H$7:$H$106))</x:f>
      </x:c>
      <x:c r="C24" s="1"/>
      <x:c r="D24" s="1"/>
      <x:c r="E24" s="1"/>
    </x:row>
    <x:row r="25" ht="28" customHeight="1">
      <x:c r="A25" s="1" t="str">
        <x:v>Explicitly unallocated</x:v>
      </x:c>
      <x:c r="B25" s="12" t="str">
        <x:f>IF(COUNTA('Takeoff'!$A$7:$A$106)=0,"",SUMIF('Codes'!$D$7:$D$106,"Unallocated",'Codes'!$H$7:$H$106))</x:f>
      </x:c>
      <x:c r="C25" s="1"/>
      <x:c r="D25" s="1"/>
      <x:c r="E25" s="1"/>
    </x:row>
    <x:row r="26" ht="28" customHeight="1">
      <x:c r="A26" s="1" t="str">
        <x:v>Priced cost without valid allocation</x:v>
      </x:c>
      <x:c r="B26" s="12" t="str">
        <x:f>IF(COUNTA('Takeoff'!$A$7:$A$106)=0,"",B17-SUM('Codes'!$H$7:$H$106))</x:f>
      </x:c>
      <x:c r="C26" s="1"/>
      <x:c r="D26" s="1"/>
      <x:c r="E26" s="1"/>
    </x:row>
    <x:row r="27" ht="28" customHeight="1">
      <x:c r="A27" s="1" t="str">
        <x:v>Allocation queries</x:v>
      </x:c>
      <x:c r="B27" s="1" t="n">
        <x:f>COUNTIF('Codes'!$I$7:$I$106,"?*")</x:f>
        <x:v>0</x:v>
      </x:c>
      <x:c r="C27" s="1"/>
      <x:c r="D27" s="1"/>
      <x:c r="E27" s="1"/>
    </x:row>
    <x:row r="28">
      <x:c r="A28" s="1"/>
      <x:c r="B28" s="1"/>
      <x:c r="C28" s="1"/>
      <x:c r="D28" s="1"/>
      <x:c r="E28" s="1"/>
    </x:row>
    <x:row r="29">
      <x:c r="A29" s="1"/>
      <x:c r="B29" s="1"/>
      <x:c r="C29" s="1"/>
      <x:c r="D29" s="1"/>
      <x:c r="E29" s="1"/>
    </x:row>
    <x:row r="30" ht="28" customHeight="1">
      <x:c r="A30" s="1" t="str">
        <x:v>Unexplained revision movement</x:v>
      </x:c>
      <x:c r="B30" s="12" t="str">
        <x:f>IF(ISNUMBER('Revision'!$E$3),'Revision'!$E$3,"")</x:f>
      </x:c>
      <x:c r="C30" s="1"/>
      <x:c r="D30" s="1"/>
      <x:c r="E30" s="1"/>
    </x:row>
    <x:row r="31" ht="28" customHeight="1">
      <x:c r="A31" s="1" t="str">
        <x:v>Revision queries</x:v>
      </x:c>
      <x:c r="B31" s="1" t="n">
        <x:f>COUNTIF('Revision'!$M$7:$M$106,"?*")</x:f>
        <x:v>0</x:v>
      </x:c>
      <x:c r="C31" s="1"/>
      <x:c r="D31" s="1"/>
      <x:c r="E31" s="1"/>
    </x:row>
    <x:row r="32">
      <x:c r="A32" s="1"/>
      <x:c r="B32" s="1"/>
      <x:c r="C32" s="1"/>
      <x:c r="D32" s="1"/>
      <x:c r="E32" s="1"/>
    </x:row>
    <x:row r="33">
      <x:c r="A33" s="1" t="str">
        <x:v>Inputs: amber basis cells and blue detail text. Calculations: grey detail cells.</x:v>
      </x:c>
      <x:c r="B33" s="1"/>
      <x:c r="C33" s="1"/>
      <x:c r="D33" s="1"/>
      <x:c r="E33" s="1"/>
    </x:row>
    <x:row r="34">
      <x:c r="A34" s="1" t="str">
        <x:v>Sources: supplied project evidence and selected NRM rules; complete source locators in detail.</x:v>
      </x:c>
      <x:c r="B34" s="1"/>
      <x:c r="C34" s="1"/>
      <x:c r="D34" s="1"/>
      <x:c r="E34" s="1"/>
    </x:row>
    <x:row r="35">
      <x:c r="A35" s="1" t="str">
        <x:v>Included-cost subtotal excludes unpriced/unmeasured scope. It is not an approved budget.</x:v>
      </x:c>
      <x:c r="B35" s="1"/>
      <x:c r="C35" s="1"/>
      <x:c r="D35" s="1"/>
      <x:c r="E35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0" hidden="0" customWidth="1"/>
    <x:col min="2" max="2" width="14" hidden="0" customWidth="1"/>
    <x:col min="3" max="3" width="26" hidden="0" customWidth="1"/>
    <x:col min="4" max="4" width="14" hidden="0" customWidth="1"/>
    <x:col min="5" max="5" width="25" hidden="0" customWidth="1"/>
    <x:col min="6" max="6" width="20" hidden="0" customWidth="1"/>
    <x:col min="7" max="7" width="36" hidden="0" customWidth="1"/>
    <x:col min="8" max="8" width="38" hidden="0" customWidth="1"/>
    <x:col min="9" max="9" width="24" hidden="0" customWidth="1"/>
    <x:col min="10" max="10" width="24" hidden="0" customWidth="1"/>
    <x:col min="11" max="11" width="32" hidden="0" customWidth="1"/>
    <x:col min="12" max="12" width="36" hidden="0" customWidth="1"/>
  </x:cols>
  <x:sheetData>
    <x:row r="1">
      <x:c r="A1" s="2" t="str">
        <x:v>Drawing register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3" t="str">
        <x:v>100 reserved rows. Record each viewport separately; listed does not mean visually reviewed.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44" customHeight="1">
      <x:c r="A6" s="6" t="str">
        <x:v>Drawing ID</x:v>
      </x:c>
      <x:c r="B6" s="6" t="str">
        <x:v>Revision</x:v>
      </x:c>
      <x:c r="C6" s="6" t="str">
        <x:v>Issue date / purpose</x:v>
      </x:c>
      <x:c r="D6" s="6" t="str">
        <x:v>PDF page</x:v>
      </x:c>
      <x:c r="E6" s="6" t="str">
        <x:v>Viewport / region</x:v>
      </x:c>
      <x:c r="F6" s="6" t="str">
        <x:v>Visual review</x:v>
      </x:c>
      <x:c r="G6" s="6" t="str">
        <x:v>Scope coverage</x:v>
      </x:c>
      <x:c r="H6" s="6" t="str">
        <x:v>Calibration basis</x:v>
      </x:c>
      <x:c r="I6" s="6" t="str">
        <x:v>X check</x:v>
      </x:c>
      <x:c r="J6" s="6" t="str">
        <x:v>Y check</x:v>
      </x:c>
      <x:c r="K6" s="6" t="str">
        <x:v>Tolerance / basis</x:v>
      </x:c>
      <x:c r="L6" s="6" t="str">
        <x:v>Query / exclusions</x:v>
      </x:c>
    </x:row>
    <x:row r="7" ht="26" customHeight="1">
      <x:c r="A7" s="16"/>
      <x:c r="B7" s="16"/>
      <x:c r="C7" s="7"/>
      <x:c r="D7" s="7"/>
      <x:c r="E7" s="7"/>
      <x:c r="F7" s="7"/>
      <x:c r="G7" s="7"/>
      <x:c r="H7" s="7"/>
      <x:c r="I7" s="7"/>
      <x:c r="J7" s="7"/>
      <x:c r="K7" s="7"/>
      <x:c r="L7" s="7"/>
    </x:row>
    <x:row r="8" ht="26" customHeight="1">
      <x:c r="A8" s="16"/>
      <x:c r="B8" s="16"/>
      <x:c r="C8" s="7"/>
      <x:c r="D8" s="7"/>
      <x:c r="E8" s="7"/>
      <x:c r="F8" s="7"/>
      <x:c r="G8" s="7"/>
      <x:c r="H8" s="7"/>
      <x:c r="I8" s="7"/>
      <x:c r="J8" s="7"/>
      <x:c r="K8" s="7"/>
      <x:c r="L8" s="7"/>
    </x:row>
    <x:row r="9" ht="26" customHeight="1">
      <x:c r="A9" s="16"/>
      <x:c r="B9" s="16"/>
      <x:c r="C9" s="7"/>
      <x:c r="D9" s="7"/>
      <x:c r="E9" s="7"/>
      <x:c r="F9" s="7"/>
      <x:c r="G9" s="7"/>
      <x:c r="H9" s="7"/>
      <x:c r="I9" s="7"/>
      <x:c r="J9" s="7"/>
      <x:c r="K9" s="7"/>
      <x:c r="L9" s="7"/>
    </x:row>
    <x:row r="10" ht="26" customHeight="1">
      <x:c r="A10" s="16"/>
      <x:c r="B10" s="16"/>
      <x:c r="C10" s="7"/>
      <x:c r="D10" s="7"/>
      <x:c r="E10" s="7"/>
      <x:c r="F10" s="7"/>
      <x:c r="G10" s="7"/>
      <x:c r="H10" s="7"/>
      <x:c r="I10" s="7"/>
      <x:c r="J10" s="7"/>
      <x:c r="K10" s="7"/>
      <x:c r="L10" s="7"/>
    </x:row>
    <x:row r="11" ht="26" customHeight="1">
      <x:c r="A11" s="16"/>
      <x:c r="B11" s="16"/>
      <x:c r="C11" s="7"/>
      <x:c r="D11" s="7"/>
      <x:c r="E11" s="7"/>
      <x:c r="F11" s="7"/>
      <x:c r="G11" s="7"/>
      <x:c r="H11" s="7"/>
      <x:c r="I11" s="7"/>
      <x:c r="J11" s="7"/>
      <x:c r="K11" s="7"/>
      <x:c r="L11" s="7"/>
    </x:row>
    <x:row r="12" ht="26" customHeight="1">
      <x:c r="A12" s="16"/>
      <x:c r="B12" s="16"/>
      <x:c r="C12" s="7"/>
      <x:c r="D12" s="7"/>
      <x:c r="E12" s="7"/>
      <x:c r="F12" s="7"/>
      <x:c r="G12" s="7"/>
      <x:c r="H12" s="7"/>
      <x:c r="I12" s="7"/>
      <x:c r="J12" s="7"/>
      <x:c r="K12" s="7"/>
      <x:c r="L12" s="7"/>
    </x:row>
    <x:row r="13" ht="26" customHeight="1">
      <x:c r="A13" s="16"/>
      <x:c r="B13" s="16"/>
      <x:c r="C13" s="7"/>
      <x:c r="D13" s="7"/>
      <x:c r="E13" s="7"/>
      <x:c r="F13" s="7"/>
      <x:c r="G13" s="7"/>
      <x:c r="H13" s="7"/>
      <x:c r="I13" s="7"/>
      <x:c r="J13" s="7"/>
      <x:c r="K13" s="7"/>
      <x:c r="L13" s="7"/>
    </x:row>
    <x:row r="14" ht="26" customHeight="1">
      <x:c r="A14" s="16"/>
      <x:c r="B14" s="16"/>
      <x:c r="C14" s="7"/>
      <x:c r="D14" s="7"/>
      <x:c r="E14" s="7"/>
      <x:c r="F14" s="7"/>
      <x:c r="G14" s="7"/>
      <x:c r="H14" s="7"/>
      <x:c r="I14" s="7"/>
      <x:c r="J14" s="7"/>
      <x:c r="K14" s="7"/>
      <x:c r="L14" s="7"/>
    </x:row>
    <x:row r="15" ht="26" customHeight="1">
      <x:c r="A15" s="16"/>
      <x:c r="B15" s="16"/>
      <x:c r="C15" s="7"/>
      <x:c r="D15" s="7"/>
      <x:c r="E15" s="7"/>
      <x:c r="F15" s="7"/>
      <x:c r="G15" s="7"/>
      <x:c r="H15" s="7"/>
      <x:c r="I15" s="7"/>
      <x:c r="J15" s="7"/>
      <x:c r="K15" s="7"/>
      <x:c r="L15" s="7"/>
    </x:row>
    <x:row r="16" ht="26" customHeight="1">
      <x:c r="A16" s="16"/>
      <x:c r="B16" s="16"/>
      <x:c r="C16" s="7"/>
      <x:c r="D16" s="7"/>
      <x:c r="E16" s="7"/>
      <x:c r="F16" s="7"/>
      <x:c r="G16" s="7"/>
      <x:c r="H16" s="7"/>
      <x:c r="I16" s="7"/>
      <x:c r="J16" s="7"/>
      <x:c r="K16" s="7"/>
      <x:c r="L16" s="7"/>
    </x:row>
    <x:row r="17" ht="26" customHeight="1">
      <x:c r="A17" s="16"/>
      <x:c r="B17" s="16"/>
      <x:c r="C17" s="7"/>
      <x:c r="D17" s="7"/>
      <x:c r="E17" s="7"/>
      <x:c r="F17" s="7"/>
      <x:c r="G17" s="7"/>
      <x:c r="H17" s="7"/>
      <x:c r="I17" s="7"/>
      <x:c r="J17" s="7"/>
      <x:c r="K17" s="7"/>
      <x:c r="L17" s="7"/>
    </x:row>
    <x:row r="18" ht="26" customHeight="1">
      <x:c r="A18" s="16"/>
      <x:c r="B18" s="16"/>
      <x:c r="C18" s="7"/>
      <x:c r="D18" s="7"/>
      <x:c r="E18" s="7"/>
      <x:c r="F18" s="7"/>
      <x:c r="G18" s="7"/>
      <x:c r="H18" s="7"/>
      <x:c r="I18" s="7"/>
      <x:c r="J18" s="7"/>
      <x:c r="K18" s="7"/>
      <x:c r="L18" s="7"/>
    </x:row>
    <x:row r="19" ht="26" customHeight="1">
      <x:c r="A19" s="16"/>
      <x:c r="B19" s="16"/>
      <x:c r="C19" s="7"/>
      <x:c r="D19" s="7"/>
      <x:c r="E19" s="7"/>
      <x:c r="F19" s="7"/>
      <x:c r="G19" s="7"/>
      <x:c r="H19" s="7"/>
      <x:c r="I19" s="7"/>
      <x:c r="J19" s="7"/>
      <x:c r="K19" s="7"/>
      <x:c r="L19" s="7"/>
    </x:row>
    <x:row r="20" ht="26" customHeight="1">
      <x:c r="A20" s="16"/>
      <x:c r="B20" s="16"/>
      <x:c r="C20" s="7"/>
      <x:c r="D20" s="7"/>
      <x:c r="E20" s="7"/>
      <x:c r="F20" s="7"/>
      <x:c r="G20" s="7"/>
      <x:c r="H20" s="7"/>
      <x:c r="I20" s="7"/>
      <x:c r="J20" s="7"/>
      <x:c r="K20" s="7"/>
      <x:c r="L20" s="7"/>
    </x:row>
    <x:row r="21" ht="26" customHeight="1">
      <x:c r="A21" s="16"/>
      <x:c r="B21" s="16"/>
      <x:c r="C21" s="7"/>
      <x:c r="D21" s="7"/>
      <x:c r="E21" s="7"/>
      <x:c r="F21" s="7"/>
      <x:c r="G21" s="7"/>
      <x:c r="H21" s="7"/>
      <x:c r="I21" s="7"/>
      <x:c r="J21" s="7"/>
      <x:c r="K21" s="7"/>
      <x:c r="L21" s="7"/>
    </x:row>
    <x:row r="22" ht="26" customHeight="1">
      <x:c r="A22" s="16"/>
      <x:c r="B22" s="16"/>
      <x:c r="C22" s="7"/>
      <x:c r="D22" s="7"/>
      <x:c r="E22" s="7"/>
      <x:c r="F22" s="7"/>
      <x:c r="G22" s="7"/>
      <x:c r="H22" s="7"/>
      <x:c r="I22" s="7"/>
      <x:c r="J22" s="7"/>
      <x:c r="K22" s="7"/>
      <x:c r="L22" s="7"/>
    </x:row>
    <x:row r="23" ht="26" customHeight="1">
      <x:c r="A23" s="16"/>
      <x:c r="B23" s="16"/>
      <x:c r="C23" s="7"/>
      <x:c r="D23" s="7"/>
      <x:c r="E23" s="7"/>
      <x:c r="F23" s="7"/>
      <x:c r="G23" s="7"/>
      <x:c r="H23" s="7"/>
      <x:c r="I23" s="7"/>
      <x:c r="J23" s="7"/>
      <x:c r="K23" s="7"/>
      <x:c r="L23" s="7"/>
    </x:row>
    <x:row r="24" ht="26" customHeight="1">
      <x:c r="A24" s="16"/>
      <x:c r="B24" s="16"/>
      <x:c r="C24" s="7"/>
      <x:c r="D24" s="7"/>
      <x:c r="E24" s="7"/>
      <x:c r="F24" s="7"/>
      <x:c r="G24" s="7"/>
      <x:c r="H24" s="7"/>
      <x:c r="I24" s="7"/>
      <x:c r="J24" s="7"/>
      <x:c r="K24" s="7"/>
      <x:c r="L24" s="7"/>
    </x:row>
    <x:row r="25" ht="26" customHeight="1">
      <x:c r="A25" s="16"/>
      <x:c r="B25" s="16"/>
      <x:c r="C25" s="7"/>
      <x:c r="D25" s="7"/>
      <x:c r="E25" s="7"/>
      <x:c r="F25" s="7"/>
      <x:c r="G25" s="7"/>
      <x:c r="H25" s="7"/>
      <x:c r="I25" s="7"/>
      <x:c r="J25" s="7"/>
      <x:c r="K25" s="7"/>
      <x:c r="L25" s="7"/>
    </x:row>
    <x:row r="26" ht="26" customHeight="1">
      <x:c r="A26" s="16"/>
      <x:c r="B26" s="16"/>
      <x:c r="C26" s="7"/>
      <x:c r="D26" s="7"/>
      <x:c r="E26" s="7"/>
      <x:c r="F26" s="7"/>
      <x:c r="G26" s="7"/>
      <x:c r="H26" s="7"/>
      <x:c r="I26" s="7"/>
      <x:c r="J26" s="7"/>
      <x:c r="K26" s="7"/>
      <x:c r="L26" s="7"/>
    </x:row>
    <x:row r="27" ht="26" customHeight="1">
      <x:c r="A27" s="16"/>
      <x:c r="B27" s="16"/>
      <x:c r="C27" s="7"/>
      <x:c r="D27" s="7"/>
      <x:c r="E27" s="7"/>
      <x:c r="F27" s="7"/>
      <x:c r="G27" s="7"/>
      <x:c r="H27" s="7"/>
      <x:c r="I27" s="7"/>
      <x:c r="J27" s="7"/>
      <x:c r="K27" s="7"/>
      <x:c r="L27" s="7"/>
    </x:row>
    <x:row r="28" ht="26" customHeight="1">
      <x:c r="A28" s="16"/>
      <x:c r="B28" s="16"/>
      <x:c r="C28" s="7"/>
      <x:c r="D28" s="7"/>
      <x:c r="E28" s="7"/>
      <x:c r="F28" s="7"/>
      <x:c r="G28" s="7"/>
      <x:c r="H28" s="7"/>
      <x:c r="I28" s="7"/>
      <x:c r="J28" s="7"/>
      <x:c r="K28" s="7"/>
      <x:c r="L28" s="7"/>
    </x:row>
    <x:row r="29" ht="26" customHeight="1">
      <x:c r="A29" s="16"/>
      <x:c r="B29" s="16"/>
      <x:c r="C29" s="7"/>
      <x:c r="D29" s="7"/>
      <x:c r="E29" s="7"/>
      <x:c r="F29" s="7"/>
      <x:c r="G29" s="7"/>
      <x:c r="H29" s="7"/>
      <x:c r="I29" s="7"/>
      <x:c r="J29" s="7"/>
      <x:c r="K29" s="7"/>
      <x:c r="L29" s="7"/>
    </x:row>
    <x:row r="30" ht="26" customHeight="1">
      <x:c r="A30" s="16"/>
      <x:c r="B30" s="16"/>
      <x:c r="C30" s="7"/>
      <x:c r="D30" s="7"/>
      <x:c r="E30" s="7"/>
      <x:c r="F30" s="7"/>
      <x:c r="G30" s="7"/>
      <x:c r="H30" s="7"/>
      <x:c r="I30" s="7"/>
      <x:c r="J30" s="7"/>
      <x:c r="K30" s="7"/>
      <x:c r="L30" s="7"/>
    </x:row>
    <x:row r="31" ht="26" customHeight="1">
      <x:c r="A31" s="16"/>
      <x:c r="B31" s="16"/>
      <x:c r="C31" s="7"/>
      <x:c r="D31" s="7"/>
      <x:c r="E31" s="7"/>
      <x:c r="F31" s="7"/>
      <x:c r="G31" s="7"/>
      <x:c r="H31" s="7"/>
      <x:c r="I31" s="7"/>
      <x:c r="J31" s="7"/>
      <x:c r="K31" s="7"/>
      <x:c r="L31" s="7"/>
    </x:row>
    <x:row r="32" ht="26" customHeight="1">
      <x:c r="A32" s="16"/>
      <x:c r="B32" s="16"/>
      <x:c r="C32" s="7"/>
      <x:c r="D32" s="7"/>
      <x:c r="E32" s="7"/>
      <x:c r="F32" s="7"/>
      <x:c r="G32" s="7"/>
      <x:c r="H32" s="7"/>
      <x:c r="I32" s="7"/>
      <x:c r="J32" s="7"/>
      <x:c r="K32" s="7"/>
      <x:c r="L32" s="7"/>
    </x:row>
    <x:row r="33" ht="26" customHeight="1">
      <x:c r="A33" s="16"/>
      <x:c r="B33" s="16"/>
      <x:c r="C33" s="7"/>
      <x:c r="D33" s="7"/>
      <x:c r="E33" s="7"/>
      <x:c r="F33" s="7"/>
      <x:c r="G33" s="7"/>
      <x:c r="H33" s="7"/>
      <x:c r="I33" s="7"/>
      <x:c r="J33" s="7"/>
      <x:c r="K33" s="7"/>
      <x:c r="L33" s="7"/>
    </x:row>
    <x:row r="34" ht="26" customHeight="1">
      <x:c r="A34" s="16"/>
      <x:c r="B34" s="16"/>
      <x:c r="C34" s="7"/>
      <x:c r="D34" s="7"/>
      <x:c r="E34" s="7"/>
      <x:c r="F34" s="7"/>
      <x:c r="G34" s="7"/>
      <x:c r="H34" s="7"/>
      <x:c r="I34" s="7"/>
      <x:c r="J34" s="7"/>
      <x:c r="K34" s="7"/>
      <x:c r="L34" s="7"/>
    </x:row>
    <x:row r="35" ht="26" customHeight="1">
      <x:c r="A35" s="16"/>
      <x:c r="B35" s="16"/>
      <x:c r="C35" s="7"/>
      <x:c r="D35" s="7"/>
      <x:c r="E35" s="7"/>
      <x:c r="F35" s="7"/>
      <x:c r="G35" s="7"/>
      <x:c r="H35" s="7"/>
      <x:c r="I35" s="7"/>
      <x:c r="J35" s="7"/>
      <x:c r="K35" s="7"/>
      <x:c r="L35" s="7"/>
    </x:row>
    <x:row r="36" ht="26" customHeight="1">
      <x:c r="A36" s="16"/>
      <x:c r="B36" s="16"/>
      <x:c r="C36" s="7"/>
      <x:c r="D36" s="7"/>
      <x:c r="E36" s="7"/>
      <x:c r="F36" s="7"/>
      <x:c r="G36" s="7"/>
      <x:c r="H36" s="7"/>
      <x:c r="I36" s="7"/>
      <x:c r="J36" s="7"/>
      <x:c r="K36" s="7"/>
      <x:c r="L36" s="7"/>
    </x:row>
    <x:row r="37" ht="26" customHeight="1">
      <x:c r="A37" s="16"/>
      <x:c r="B37" s="16"/>
      <x:c r="C37" s="7"/>
      <x:c r="D37" s="7"/>
      <x:c r="E37" s="7"/>
      <x:c r="F37" s="7"/>
      <x:c r="G37" s="7"/>
      <x:c r="H37" s="7"/>
      <x:c r="I37" s="7"/>
      <x:c r="J37" s="7"/>
      <x:c r="K37" s="7"/>
      <x:c r="L37" s="7"/>
    </x:row>
    <x:row r="38" ht="26" customHeight="1">
      <x:c r="A38" s="16"/>
      <x:c r="B38" s="16"/>
      <x:c r="C38" s="7"/>
      <x:c r="D38" s="7"/>
      <x:c r="E38" s="7"/>
      <x:c r="F38" s="7"/>
      <x:c r="G38" s="7"/>
      <x:c r="H38" s="7"/>
      <x:c r="I38" s="7"/>
      <x:c r="J38" s="7"/>
      <x:c r="K38" s="7"/>
      <x:c r="L38" s="7"/>
    </x:row>
    <x:row r="39" ht="26" customHeight="1">
      <x:c r="A39" s="16"/>
      <x:c r="B39" s="16"/>
      <x:c r="C39" s="7"/>
      <x:c r="D39" s="7"/>
      <x:c r="E39" s="7"/>
      <x:c r="F39" s="7"/>
      <x:c r="G39" s="7"/>
      <x:c r="H39" s="7"/>
      <x:c r="I39" s="7"/>
      <x:c r="J39" s="7"/>
      <x:c r="K39" s="7"/>
      <x:c r="L39" s="7"/>
    </x:row>
    <x:row r="40" ht="26" customHeight="1">
      <x:c r="A40" s="16"/>
      <x:c r="B40" s="16"/>
      <x:c r="C40" s="7"/>
      <x:c r="D40" s="7"/>
      <x:c r="E40" s="7"/>
      <x:c r="F40" s="7"/>
      <x:c r="G40" s="7"/>
      <x:c r="H40" s="7"/>
      <x:c r="I40" s="7"/>
      <x:c r="J40" s="7"/>
      <x:c r="K40" s="7"/>
      <x:c r="L40" s="7"/>
    </x:row>
    <x:row r="41" ht="26" customHeight="1">
      <x:c r="A41" s="16"/>
      <x:c r="B41" s="16"/>
      <x:c r="C41" s="7"/>
      <x:c r="D41" s="7"/>
      <x:c r="E41" s="7"/>
      <x:c r="F41" s="7"/>
      <x:c r="G41" s="7"/>
      <x:c r="H41" s="7"/>
      <x:c r="I41" s="7"/>
      <x:c r="J41" s="7"/>
      <x:c r="K41" s="7"/>
      <x:c r="L41" s="7"/>
    </x:row>
    <x:row r="42" ht="26" customHeight="1">
      <x:c r="A42" s="16"/>
      <x:c r="B42" s="16"/>
      <x:c r="C42" s="7"/>
      <x:c r="D42" s="7"/>
      <x:c r="E42" s="7"/>
      <x:c r="F42" s="7"/>
      <x:c r="G42" s="7"/>
      <x:c r="H42" s="7"/>
      <x:c r="I42" s="7"/>
      <x:c r="J42" s="7"/>
      <x:c r="K42" s="7"/>
      <x:c r="L42" s="7"/>
    </x:row>
    <x:row r="43" ht="26" customHeight="1">
      <x:c r="A43" s="16"/>
      <x:c r="B43" s="16"/>
      <x:c r="C43" s="7"/>
      <x:c r="D43" s="7"/>
      <x:c r="E43" s="7"/>
      <x:c r="F43" s="7"/>
      <x:c r="G43" s="7"/>
      <x:c r="H43" s="7"/>
      <x:c r="I43" s="7"/>
      <x:c r="J43" s="7"/>
      <x:c r="K43" s="7"/>
      <x:c r="L43" s="7"/>
    </x:row>
    <x:row r="44" ht="26" customHeight="1">
      <x:c r="A44" s="16"/>
      <x:c r="B44" s="16"/>
      <x:c r="C44" s="7"/>
      <x:c r="D44" s="7"/>
      <x:c r="E44" s="7"/>
      <x:c r="F44" s="7"/>
      <x:c r="G44" s="7"/>
      <x:c r="H44" s="7"/>
      <x:c r="I44" s="7"/>
      <x:c r="J44" s="7"/>
      <x:c r="K44" s="7"/>
      <x:c r="L44" s="7"/>
    </x:row>
    <x:row r="45" ht="26" customHeight="1">
      <x:c r="A45" s="16"/>
      <x:c r="B45" s="16"/>
      <x:c r="C45" s="7"/>
      <x:c r="D45" s="7"/>
      <x:c r="E45" s="7"/>
      <x:c r="F45" s="7"/>
      <x:c r="G45" s="7"/>
      <x:c r="H45" s="7"/>
      <x:c r="I45" s="7"/>
      <x:c r="J45" s="7"/>
      <x:c r="K45" s="7"/>
      <x:c r="L45" s="7"/>
    </x:row>
    <x:row r="46" ht="26" customHeight="1">
      <x:c r="A46" s="16"/>
      <x:c r="B46" s="16"/>
      <x:c r="C46" s="7"/>
      <x:c r="D46" s="7"/>
      <x:c r="E46" s="7"/>
      <x:c r="F46" s="7"/>
      <x:c r="G46" s="7"/>
      <x:c r="H46" s="7"/>
      <x:c r="I46" s="7"/>
      <x:c r="J46" s="7"/>
      <x:c r="K46" s="7"/>
      <x:c r="L46" s="7"/>
    </x:row>
    <x:row r="47" ht="26" customHeight="1">
      <x:c r="A47" s="16"/>
      <x:c r="B47" s="16"/>
      <x:c r="C47" s="7"/>
      <x:c r="D47" s="7"/>
      <x:c r="E47" s="7"/>
      <x:c r="F47" s="7"/>
      <x:c r="G47" s="7"/>
      <x:c r="H47" s="7"/>
      <x:c r="I47" s="7"/>
      <x:c r="J47" s="7"/>
      <x:c r="K47" s="7"/>
      <x:c r="L47" s="7"/>
    </x:row>
    <x:row r="48" ht="26" customHeight="1">
      <x:c r="A48" s="16"/>
      <x:c r="B48" s="16"/>
      <x:c r="C48" s="7"/>
      <x:c r="D48" s="7"/>
      <x:c r="E48" s="7"/>
      <x:c r="F48" s="7"/>
      <x:c r="G48" s="7"/>
      <x:c r="H48" s="7"/>
      <x:c r="I48" s="7"/>
      <x:c r="J48" s="7"/>
      <x:c r="K48" s="7"/>
      <x:c r="L48" s="7"/>
    </x:row>
    <x:row r="49" ht="26" customHeight="1">
      <x:c r="A49" s="16"/>
      <x:c r="B49" s="16"/>
      <x:c r="C49" s="7"/>
      <x:c r="D49" s="7"/>
      <x:c r="E49" s="7"/>
      <x:c r="F49" s="7"/>
      <x:c r="G49" s="7"/>
      <x:c r="H49" s="7"/>
      <x:c r="I49" s="7"/>
      <x:c r="J49" s="7"/>
      <x:c r="K49" s="7"/>
      <x:c r="L49" s="7"/>
    </x:row>
    <x:row r="50" ht="26" customHeight="1">
      <x:c r="A50" s="16"/>
      <x:c r="B50" s="16"/>
      <x:c r="C50" s="7"/>
      <x:c r="D50" s="7"/>
      <x:c r="E50" s="7"/>
      <x:c r="F50" s="7"/>
      <x:c r="G50" s="7"/>
      <x:c r="H50" s="7"/>
      <x:c r="I50" s="7"/>
      <x:c r="J50" s="7"/>
      <x:c r="K50" s="7"/>
      <x:c r="L50" s="7"/>
    </x:row>
    <x:row r="51" ht="26" customHeight="1">
      <x:c r="A51" s="16"/>
      <x:c r="B51" s="16"/>
      <x:c r="C51" s="7"/>
      <x:c r="D51" s="7"/>
      <x:c r="E51" s="7"/>
      <x:c r="F51" s="7"/>
      <x:c r="G51" s="7"/>
      <x:c r="H51" s="7"/>
      <x:c r="I51" s="7"/>
      <x:c r="J51" s="7"/>
      <x:c r="K51" s="7"/>
      <x:c r="L51" s="7"/>
    </x:row>
    <x:row r="52" ht="26" customHeight="1">
      <x:c r="A52" s="16"/>
      <x:c r="B52" s="16"/>
      <x:c r="C52" s="7"/>
      <x:c r="D52" s="7"/>
      <x:c r="E52" s="7"/>
      <x:c r="F52" s="7"/>
      <x:c r="G52" s="7"/>
      <x:c r="H52" s="7"/>
      <x:c r="I52" s="7"/>
      <x:c r="J52" s="7"/>
      <x:c r="K52" s="7"/>
      <x:c r="L52" s="7"/>
    </x:row>
    <x:row r="53" ht="26" customHeight="1">
      <x:c r="A53" s="16"/>
      <x:c r="B53" s="16"/>
      <x:c r="C53" s="7"/>
      <x:c r="D53" s="7"/>
      <x:c r="E53" s="7"/>
      <x:c r="F53" s="7"/>
      <x:c r="G53" s="7"/>
      <x:c r="H53" s="7"/>
      <x:c r="I53" s="7"/>
      <x:c r="J53" s="7"/>
      <x:c r="K53" s="7"/>
      <x:c r="L53" s="7"/>
    </x:row>
    <x:row r="54" ht="26" customHeight="1">
      <x:c r="A54" s="16"/>
      <x:c r="B54" s="16"/>
      <x:c r="C54" s="7"/>
      <x:c r="D54" s="7"/>
      <x:c r="E54" s="7"/>
      <x:c r="F54" s="7"/>
      <x:c r="G54" s="7"/>
      <x:c r="H54" s="7"/>
      <x:c r="I54" s="7"/>
      <x:c r="J54" s="7"/>
      <x:c r="K54" s="7"/>
      <x:c r="L54" s="7"/>
    </x:row>
    <x:row r="55" ht="26" customHeight="1">
      <x:c r="A55" s="16"/>
      <x:c r="B55" s="16"/>
      <x:c r="C55" s="7"/>
      <x:c r="D55" s="7"/>
      <x:c r="E55" s="7"/>
      <x:c r="F55" s="7"/>
      <x:c r="G55" s="7"/>
      <x:c r="H55" s="7"/>
      <x:c r="I55" s="7"/>
      <x:c r="J55" s="7"/>
      <x:c r="K55" s="7"/>
      <x:c r="L55" s="7"/>
    </x:row>
    <x:row r="56" ht="26" customHeight="1">
      <x:c r="A56" s="16"/>
      <x:c r="B56" s="16"/>
      <x:c r="C56" s="7"/>
      <x:c r="D56" s="7"/>
      <x:c r="E56" s="7"/>
      <x:c r="F56" s="7"/>
      <x:c r="G56" s="7"/>
      <x:c r="H56" s="7"/>
      <x:c r="I56" s="7"/>
      <x:c r="J56" s="7"/>
      <x:c r="K56" s="7"/>
      <x:c r="L56" s="7"/>
    </x:row>
    <x:row r="57" ht="26" customHeight="1">
      <x:c r="A57" s="16"/>
      <x:c r="B57" s="16"/>
      <x:c r="C57" s="7"/>
      <x:c r="D57" s="7"/>
      <x:c r="E57" s="7"/>
      <x:c r="F57" s="7"/>
      <x:c r="G57" s="7"/>
      <x:c r="H57" s="7"/>
      <x:c r="I57" s="7"/>
      <x:c r="J57" s="7"/>
      <x:c r="K57" s="7"/>
      <x:c r="L57" s="7"/>
    </x:row>
    <x:row r="58" ht="26" customHeight="1">
      <x:c r="A58" s="16"/>
      <x:c r="B58" s="16"/>
      <x:c r="C58" s="7"/>
      <x:c r="D58" s="7"/>
      <x:c r="E58" s="7"/>
      <x:c r="F58" s="7"/>
      <x:c r="G58" s="7"/>
      <x:c r="H58" s="7"/>
      <x:c r="I58" s="7"/>
      <x:c r="J58" s="7"/>
      <x:c r="K58" s="7"/>
      <x:c r="L58" s="7"/>
    </x:row>
    <x:row r="59" ht="26" customHeight="1">
      <x:c r="A59" s="16"/>
      <x:c r="B59" s="16"/>
      <x:c r="C59" s="7"/>
      <x:c r="D59" s="7"/>
      <x:c r="E59" s="7"/>
      <x:c r="F59" s="7"/>
      <x:c r="G59" s="7"/>
      <x:c r="H59" s="7"/>
      <x:c r="I59" s="7"/>
      <x:c r="J59" s="7"/>
      <x:c r="K59" s="7"/>
      <x:c r="L59" s="7"/>
    </x:row>
    <x:row r="60" ht="26" customHeight="1">
      <x:c r="A60" s="16"/>
      <x:c r="B60" s="16"/>
      <x:c r="C60" s="7"/>
      <x:c r="D60" s="7"/>
      <x:c r="E60" s="7"/>
      <x:c r="F60" s="7"/>
      <x:c r="G60" s="7"/>
      <x:c r="H60" s="7"/>
      <x:c r="I60" s="7"/>
      <x:c r="J60" s="7"/>
      <x:c r="K60" s="7"/>
      <x:c r="L60" s="7"/>
    </x:row>
    <x:row r="61" ht="26" customHeight="1">
      <x:c r="A61" s="16"/>
      <x:c r="B61" s="16"/>
      <x:c r="C61" s="7"/>
      <x:c r="D61" s="7"/>
      <x:c r="E61" s="7"/>
      <x:c r="F61" s="7"/>
      <x:c r="G61" s="7"/>
      <x:c r="H61" s="7"/>
      <x:c r="I61" s="7"/>
      <x:c r="J61" s="7"/>
      <x:c r="K61" s="7"/>
      <x:c r="L61" s="7"/>
    </x:row>
    <x:row r="62" ht="26" customHeight="1">
      <x:c r="A62" s="16"/>
      <x:c r="B62" s="16"/>
      <x:c r="C62" s="7"/>
      <x:c r="D62" s="7"/>
      <x:c r="E62" s="7"/>
      <x:c r="F62" s="7"/>
      <x:c r="G62" s="7"/>
      <x:c r="H62" s="7"/>
      <x:c r="I62" s="7"/>
      <x:c r="J62" s="7"/>
      <x:c r="K62" s="7"/>
      <x:c r="L62" s="7"/>
    </x:row>
    <x:row r="63" ht="26" customHeight="1">
      <x:c r="A63" s="16"/>
      <x:c r="B63" s="16"/>
      <x:c r="C63" s="7"/>
      <x:c r="D63" s="7"/>
      <x:c r="E63" s="7"/>
      <x:c r="F63" s="7"/>
      <x:c r="G63" s="7"/>
      <x:c r="H63" s="7"/>
      <x:c r="I63" s="7"/>
      <x:c r="J63" s="7"/>
      <x:c r="K63" s="7"/>
      <x:c r="L63" s="7"/>
    </x:row>
    <x:row r="64" ht="26" customHeight="1">
      <x:c r="A64" s="16"/>
      <x:c r="B64" s="16"/>
      <x:c r="C64" s="7"/>
      <x:c r="D64" s="7"/>
      <x:c r="E64" s="7"/>
      <x:c r="F64" s="7"/>
      <x:c r="G64" s="7"/>
      <x:c r="H64" s="7"/>
      <x:c r="I64" s="7"/>
      <x:c r="J64" s="7"/>
      <x:c r="K64" s="7"/>
      <x:c r="L64" s="7"/>
    </x:row>
    <x:row r="65" ht="26" customHeight="1">
      <x:c r="A65" s="16"/>
      <x:c r="B65" s="16"/>
      <x:c r="C65" s="7"/>
      <x:c r="D65" s="7"/>
      <x:c r="E65" s="7"/>
      <x:c r="F65" s="7"/>
      <x:c r="G65" s="7"/>
      <x:c r="H65" s="7"/>
      <x:c r="I65" s="7"/>
      <x:c r="J65" s="7"/>
      <x:c r="K65" s="7"/>
      <x:c r="L65" s="7"/>
    </x:row>
    <x:row r="66" ht="26" customHeight="1">
      <x:c r="A66" s="16"/>
      <x:c r="B66" s="16"/>
      <x:c r="C66" s="7"/>
      <x:c r="D66" s="7"/>
      <x:c r="E66" s="7"/>
      <x:c r="F66" s="7"/>
      <x:c r="G66" s="7"/>
      <x:c r="H66" s="7"/>
      <x:c r="I66" s="7"/>
      <x:c r="J66" s="7"/>
      <x:c r="K66" s="7"/>
      <x:c r="L66" s="7"/>
    </x:row>
    <x:row r="67" ht="26" customHeight="1">
      <x:c r="A67" s="16"/>
      <x:c r="B67" s="16"/>
      <x:c r="C67" s="7"/>
      <x:c r="D67" s="7"/>
      <x:c r="E67" s="7"/>
      <x:c r="F67" s="7"/>
      <x:c r="G67" s="7"/>
      <x:c r="H67" s="7"/>
      <x:c r="I67" s="7"/>
      <x:c r="J67" s="7"/>
      <x:c r="K67" s="7"/>
      <x:c r="L67" s="7"/>
    </x:row>
    <x:row r="68" ht="26" customHeight="1">
      <x:c r="A68" s="16"/>
      <x:c r="B68" s="16"/>
      <x:c r="C68" s="7"/>
      <x:c r="D68" s="7"/>
      <x:c r="E68" s="7"/>
      <x:c r="F68" s="7"/>
      <x:c r="G68" s="7"/>
      <x:c r="H68" s="7"/>
      <x:c r="I68" s="7"/>
      <x:c r="J68" s="7"/>
      <x:c r="K68" s="7"/>
      <x:c r="L68" s="7"/>
    </x:row>
    <x:row r="69" ht="26" customHeight="1">
      <x:c r="A69" s="16"/>
      <x:c r="B69" s="16"/>
      <x:c r="C69" s="7"/>
      <x:c r="D69" s="7"/>
      <x:c r="E69" s="7"/>
      <x:c r="F69" s="7"/>
      <x:c r="G69" s="7"/>
      <x:c r="H69" s="7"/>
      <x:c r="I69" s="7"/>
      <x:c r="J69" s="7"/>
      <x:c r="K69" s="7"/>
      <x:c r="L69" s="7"/>
    </x:row>
    <x:row r="70" ht="26" customHeight="1">
      <x:c r="A70" s="16"/>
      <x:c r="B70" s="16"/>
      <x:c r="C70" s="7"/>
      <x:c r="D70" s="7"/>
      <x:c r="E70" s="7"/>
      <x:c r="F70" s="7"/>
      <x:c r="G70" s="7"/>
      <x:c r="H70" s="7"/>
      <x:c r="I70" s="7"/>
      <x:c r="J70" s="7"/>
      <x:c r="K70" s="7"/>
      <x:c r="L70" s="7"/>
    </x:row>
    <x:row r="71" ht="26" customHeight="1">
      <x:c r="A71" s="16"/>
      <x:c r="B71" s="16"/>
      <x:c r="C71" s="7"/>
      <x:c r="D71" s="7"/>
      <x:c r="E71" s="7"/>
      <x:c r="F71" s="7"/>
      <x:c r="G71" s="7"/>
      <x:c r="H71" s="7"/>
      <x:c r="I71" s="7"/>
      <x:c r="J71" s="7"/>
      <x:c r="K71" s="7"/>
      <x:c r="L71" s="7"/>
    </x:row>
    <x:row r="72" ht="26" customHeight="1">
      <x:c r="A72" s="16"/>
      <x:c r="B72" s="16"/>
      <x:c r="C72" s="7"/>
      <x:c r="D72" s="7"/>
      <x:c r="E72" s="7"/>
      <x:c r="F72" s="7"/>
      <x:c r="G72" s="7"/>
      <x:c r="H72" s="7"/>
      <x:c r="I72" s="7"/>
      <x:c r="J72" s="7"/>
      <x:c r="K72" s="7"/>
      <x:c r="L72" s="7"/>
    </x:row>
    <x:row r="73" ht="26" customHeight="1">
      <x:c r="A73" s="16"/>
      <x:c r="B73" s="16"/>
      <x:c r="C73" s="7"/>
      <x:c r="D73" s="7"/>
      <x:c r="E73" s="7"/>
      <x:c r="F73" s="7"/>
      <x:c r="G73" s="7"/>
      <x:c r="H73" s="7"/>
      <x:c r="I73" s="7"/>
      <x:c r="J73" s="7"/>
      <x:c r="K73" s="7"/>
      <x:c r="L73" s="7"/>
    </x:row>
    <x:row r="74" ht="26" customHeight="1">
      <x:c r="A74" s="16"/>
      <x:c r="B74" s="16"/>
      <x:c r="C74" s="7"/>
      <x:c r="D74" s="7"/>
      <x:c r="E74" s="7"/>
      <x:c r="F74" s="7"/>
      <x:c r="G74" s="7"/>
      <x:c r="H74" s="7"/>
      <x:c r="I74" s="7"/>
      <x:c r="J74" s="7"/>
      <x:c r="K74" s="7"/>
      <x:c r="L74" s="7"/>
    </x:row>
    <x:row r="75" ht="26" customHeight="1">
      <x:c r="A75" s="16"/>
      <x:c r="B75" s="16"/>
      <x:c r="C75" s="7"/>
      <x:c r="D75" s="7"/>
      <x:c r="E75" s="7"/>
      <x:c r="F75" s="7"/>
      <x:c r="G75" s="7"/>
      <x:c r="H75" s="7"/>
      <x:c r="I75" s="7"/>
      <x:c r="J75" s="7"/>
      <x:c r="K75" s="7"/>
      <x:c r="L75" s="7"/>
    </x:row>
    <x:row r="76" ht="26" customHeight="1">
      <x:c r="A76" s="16"/>
      <x:c r="B76" s="16"/>
      <x:c r="C76" s="7"/>
      <x:c r="D76" s="7"/>
      <x:c r="E76" s="7"/>
      <x:c r="F76" s="7"/>
      <x:c r="G76" s="7"/>
      <x:c r="H76" s="7"/>
      <x:c r="I76" s="7"/>
      <x:c r="J76" s="7"/>
      <x:c r="K76" s="7"/>
      <x:c r="L76" s="7"/>
    </x:row>
    <x:row r="77" ht="26" customHeight="1">
      <x:c r="A77" s="16"/>
      <x:c r="B77" s="16"/>
      <x:c r="C77" s="7"/>
      <x:c r="D77" s="7"/>
      <x:c r="E77" s="7"/>
      <x:c r="F77" s="7"/>
      <x:c r="G77" s="7"/>
      <x:c r="H77" s="7"/>
      <x:c r="I77" s="7"/>
      <x:c r="J77" s="7"/>
      <x:c r="K77" s="7"/>
      <x:c r="L77" s="7"/>
    </x:row>
    <x:row r="78" ht="26" customHeight="1">
      <x:c r="A78" s="16"/>
      <x:c r="B78" s="16"/>
      <x:c r="C78" s="7"/>
      <x:c r="D78" s="7"/>
      <x:c r="E78" s="7"/>
      <x:c r="F78" s="7"/>
      <x:c r="G78" s="7"/>
      <x:c r="H78" s="7"/>
      <x:c r="I78" s="7"/>
      <x:c r="J78" s="7"/>
      <x:c r="K78" s="7"/>
      <x:c r="L78" s="7"/>
    </x:row>
    <x:row r="79" ht="26" customHeight="1">
      <x:c r="A79" s="16"/>
      <x:c r="B79" s="16"/>
      <x:c r="C79" s="7"/>
      <x:c r="D79" s="7"/>
      <x:c r="E79" s="7"/>
      <x:c r="F79" s="7"/>
      <x:c r="G79" s="7"/>
      <x:c r="H79" s="7"/>
      <x:c r="I79" s="7"/>
      <x:c r="J79" s="7"/>
      <x:c r="K79" s="7"/>
      <x:c r="L79" s="7"/>
    </x:row>
    <x:row r="80" ht="26" customHeight="1">
      <x:c r="A80" s="16"/>
      <x:c r="B80" s="16"/>
      <x:c r="C80" s="7"/>
      <x:c r="D80" s="7"/>
      <x:c r="E80" s="7"/>
      <x:c r="F80" s="7"/>
      <x:c r="G80" s="7"/>
      <x:c r="H80" s="7"/>
      <x:c r="I80" s="7"/>
      <x:c r="J80" s="7"/>
      <x:c r="K80" s="7"/>
      <x:c r="L80" s="7"/>
    </x:row>
    <x:row r="81" ht="26" customHeight="1">
      <x:c r="A81" s="16"/>
      <x:c r="B81" s="16"/>
      <x:c r="C81" s="7"/>
      <x:c r="D81" s="7"/>
      <x:c r="E81" s="7"/>
      <x:c r="F81" s="7"/>
      <x:c r="G81" s="7"/>
      <x:c r="H81" s="7"/>
      <x:c r="I81" s="7"/>
      <x:c r="J81" s="7"/>
      <x:c r="K81" s="7"/>
      <x:c r="L81" s="7"/>
    </x:row>
    <x:row r="82" ht="26" customHeight="1">
      <x:c r="A82" s="16"/>
      <x:c r="B82" s="16"/>
      <x:c r="C82" s="7"/>
      <x:c r="D82" s="7"/>
      <x:c r="E82" s="7"/>
      <x:c r="F82" s="7"/>
      <x:c r="G82" s="7"/>
      <x:c r="H82" s="7"/>
      <x:c r="I82" s="7"/>
      <x:c r="J82" s="7"/>
      <x:c r="K82" s="7"/>
      <x:c r="L82" s="7"/>
    </x:row>
    <x:row r="83" ht="26" customHeight="1">
      <x:c r="A83" s="16"/>
      <x:c r="B83" s="16"/>
      <x:c r="C83" s="7"/>
      <x:c r="D83" s="7"/>
      <x:c r="E83" s="7"/>
      <x:c r="F83" s="7"/>
      <x:c r="G83" s="7"/>
      <x:c r="H83" s="7"/>
      <x:c r="I83" s="7"/>
      <x:c r="J83" s="7"/>
      <x:c r="K83" s="7"/>
      <x:c r="L83" s="7"/>
    </x:row>
    <x:row r="84" ht="26" customHeight="1">
      <x:c r="A84" s="16"/>
      <x:c r="B84" s="16"/>
      <x:c r="C84" s="7"/>
      <x:c r="D84" s="7"/>
      <x:c r="E84" s="7"/>
      <x:c r="F84" s="7"/>
      <x:c r="G84" s="7"/>
      <x:c r="H84" s="7"/>
      <x:c r="I84" s="7"/>
      <x:c r="J84" s="7"/>
      <x:c r="K84" s="7"/>
      <x:c r="L84" s="7"/>
    </x:row>
    <x:row r="85" ht="26" customHeight="1">
      <x:c r="A85" s="16"/>
      <x:c r="B85" s="16"/>
      <x:c r="C85" s="7"/>
      <x:c r="D85" s="7"/>
      <x:c r="E85" s="7"/>
      <x:c r="F85" s="7"/>
      <x:c r="G85" s="7"/>
      <x:c r="H85" s="7"/>
      <x:c r="I85" s="7"/>
      <x:c r="J85" s="7"/>
      <x:c r="K85" s="7"/>
      <x:c r="L85" s="7"/>
    </x:row>
    <x:row r="86" ht="26" customHeight="1">
      <x:c r="A86" s="16"/>
      <x:c r="B86" s="16"/>
      <x:c r="C86" s="7"/>
      <x:c r="D86" s="7"/>
      <x:c r="E86" s="7"/>
      <x:c r="F86" s="7"/>
      <x:c r="G86" s="7"/>
      <x:c r="H86" s="7"/>
      <x:c r="I86" s="7"/>
      <x:c r="J86" s="7"/>
      <x:c r="K86" s="7"/>
      <x:c r="L86" s="7"/>
    </x:row>
    <x:row r="87" ht="26" customHeight="1">
      <x:c r="A87" s="16"/>
      <x:c r="B87" s="16"/>
      <x:c r="C87" s="7"/>
      <x:c r="D87" s="7"/>
      <x:c r="E87" s="7"/>
      <x:c r="F87" s="7"/>
      <x:c r="G87" s="7"/>
      <x:c r="H87" s="7"/>
      <x:c r="I87" s="7"/>
      <x:c r="J87" s="7"/>
      <x:c r="K87" s="7"/>
      <x:c r="L87" s="7"/>
    </x:row>
    <x:row r="88" ht="26" customHeight="1">
      <x:c r="A88" s="16"/>
      <x:c r="B88" s="16"/>
      <x:c r="C88" s="7"/>
      <x:c r="D88" s="7"/>
      <x:c r="E88" s="7"/>
      <x:c r="F88" s="7"/>
      <x:c r="G88" s="7"/>
      <x:c r="H88" s="7"/>
      <x:c r="I88" s="7"/>
      <x:c r="J88" s="7"/>
      <x:c r="K88" s="7"/>
      <x:c r="L88" s="7"/>
    </x:row>
    <x:row r="89" ht="26" customHeight="1">
      <x:c r="A89" s="16"/>
      <x:c r="B89" s="16"/>
      <x:c r="C89" s="7"/>
      <x:c r="D89" s="7"/>
      <x:c r="E89" s="7"/>
      <x:c r="F89" s="7"/>
      <x:c r="G89" s="7"/>
      <x:c r="H89" s="7"/>
      <x:c r="I89" s="7"/>
      <x:c r="J89" s="7"/>
      <x:c r="K89" s="7"/>
      <x:c r="L89" s="7"/>
    </x:row>
    <x:row r="90" ht="26" customHeight="1">
      <x:c r="A90" s="16"/>
      <x:c r="B90" s="16"/>
      <x:c r="C90" s="7"/>
      <x:c r="D90" s="7"/>
      <x:c r="E90" s="7"/>
      <x:c r="F90" s="7"/>
      <x:c r="G90" s="7"/>
      <x:c r="H90" s="7"/>
      <x:c r="I90" s="7"/>
      <x:c r="J90" s="7"/>
      <x:c r="K90" s="7"/>
      <x:c r="L90" s="7"/>
    </x:row>
    <x:row r="91" ht="26" customHeight="1">
      <x:c r="A91" s="16"/>
      <x:c r="B91" s="16"/>
      <x:c r="C91" s="7"/>
      <x:c r="D91" s="7"/>
      <x:c r="E91" s="7"/>
      <x:c r="F91" s="7"/>
      <x:c r="G91" s="7"/>
      <x:c r="H91" s="7"/>
      <x:c r="I91" s="7"/>
      <x:c r="J91" s="7"/>
      <x:c r="K91" s="7"/>
      <x:c r="L91" s="7"/>
    </x:row>
    <x:row r="92" ht="26" customHeight="1">
      <x:c r="A92" s="16"/>
      <x:c r="B92" s="16"/>
      <x:c r="C92" s="7"/>
      <x:c r="D92" s="7"/>
      <x:c r="E92" s="7"/>
      <x:c r="F92" s="7"/>
      <x:c r="G92" s="7"/>
      <x:c r="H92" s="7"/>
      <x:c r="I92" s="7"/>
      <x:c r="J92" s="7"/>
      <x:c r="K92" s="7"/>
      <x:c r="L92" s="7"/>
    </x:row>
    <x:row r="93" ht="26" customHeight="1">
      <x:c r="A93" s="16"/>
      <x:c r="B93" s="16"/>
      <x:c r="C93" s="7"/>
      <x:c r="D93" s="7"/>
      <x:c r="E93" s="7"/>
      <x:c r="F93" s="7"/>
      <x:c r="G93" s="7"/>
      <x:c r="H93" s="7"/>
      <x:c r="I93" s="7"/>
      <x:c r="J93" s="7"/>
      <x:c r="K93" s="7"/>
      <x:c r="L93" s="7"/>
    </x:row>
    <x:row r="94" ht="26" customHeight="1">
      <x:c r="A94" s="16"/>
      <x:c r="B94" s="16"/>
      <x:c r="C94" s="7"/>
      <x:c r="D94" s="7"/>
      <x:c r="E94" s="7"/>
      <x:c r="F94" s="7"/>
      <x:c r="G94" s="7"/>
      <x:c r="H94" s="7"/>
      <x:c r="I94" s="7"/>
      <x:c r="J94" s="7"/>
      <x:c r="K94" s="7"/>
      <x:c r="L94" s="7"/>
    </x:row>
    <x:row r="95" ht="26" customHeight="1">
      <x:c r="A95" s="16"/>
      <x:c r="B95" s="16"/>
      <x:c r="C95" s="7"/>
      <x:c r="D95" s="7"/>
      <x:c r="E95" s="7"/>
      <x:c r="F95" s="7"/>
      <x:c r="G95" s="7"/>
      <x:c r="H95" s="7"/>
      <x:c r="I95" s="7"/>
      <x:c r="J95" s="7"/>
      <x:c r="K95" s="7"/>
      <x:c r="L95" s="7"/>
    </x:row>
    <x:row r="96" ht="26" customHeight="1">
      <x:c r="A96" s="16"/>
      <x:c r="B96" s="16"/>
      <x:c r="C96" s="7"/>
      <x:c r="D96" s="7"/>
      <x:c r="E96" s="7"/>
      <x:c r="F96" s="7"/>
      <x:c r="G96" s="7"/>
      <x:c r="H96" s="7"/>
      <x:c r="I96" s="7"/>
      <x:c r="J96" s="7"/>
      <x:c r="K96" s="7"/>
      <x:c r="L96" s="7"/>
    </x:row>
    <x:row r="97" ht="26" customHeight="1">
      <x:c r="A97" s="16"/>
      <x:c r="B97" s="16"/>
      <x:c r="C97" s="7"/>
      <x:c r="D97" s="7"/>
      <x:c r="E97" s="7"/>
      <x:c r="F97" s="7"/>
      <x:c r="G97" s="7"/>
      <x:c r="H97" s="7"/>
      <x:c r="I97" s="7"/>
      <x:c r="J97" s="7"/>
      <x:c r="K97" s="7"/>
      <x:c r="L97" s="7"/>
    </x:row>
    <x:row r="98" ht="26" customHeight="1">
      <x:c r="A98" s="16"/>
      <x:c r="B98" s="16"/>
      <x:c r="C98" s="7"/>
      <x:c r="D98" s="7"/>
      <x:c r="E98" s="7"/>
      <x:c r="F98" s="7"/>
      <x:c r="G98" s="7"/>
      <x:c r="H98" s="7"/>
      <x:c r="I98" s="7"/>
      <x:c r="J98" s="7"/>
      <x:c r="K98" s="7"/>
      <x:c r="L98" s="7"/>
    </x:row>
    <x:row r="99" ht="26" customHeight="1">
      <x:c r="A99" s="16"/>
      <x:c r="B99" s="16"/>
      <x:c r="C99" s="7"/>
      <x:c r="D99" s="7"/>
      <x:c r="E99" s="7"/>
      <x:c r="F99" s="7"/>
      <x:c r="G99" s="7"/>
      <x:c r="H99" s="7"/>
      <x:c r="I99" s="7"/>
      <x:c r="J99" s="7"/>
      <x:c r="K99" s="7"/>
      <x:c r="L99" s="7"/>
    </x:row>
    <x:row r="100" ht="26" customHeight="1">
      <x:c r="A100" s="16"/>
      <x:c r="B100" s="16"/>
      <x:c r="C100" s="7"/>
      <x:c r="D100" s="7"/>
      <x:c r="E100" s="7"/>
      <x:c r="F100" s="7"/>
      <x:c r="G100" s="7"/>
      <x:c r="H100" s="7"/>
      <x:c r="I100" s="7"/>
      <x:c r="J100" s="7"/>
      <x:c r="K100" s="7"/>
      <x:c r="L100" s="7"/>
    </x:row>
    <x:row r="101" ht="26" customHeight="1">
      <x:c r="A101" s="16"/>
      <x:c r="B101" s="16"/>
      <x:c r="C101" s="7"/>
      <x:c r="D101" s="7"/>
      <x:c r="E101" s="7"/>
      <x:c r="F101" s="7"/>
      <x:c r="G101" s="7"/>
      <x:c r="H101" s="7"/>
      <x:c r="I101" s="7"/>
      <x:c r="J101" s="7"/>
      <x:c r="K101" s="7"/>
      <x:c r="L101" s="7"/>
    </x:row>
    <x:row r="102" ht="26" customHeight="1">
      <x:c r="A102" s="16"/>
      <x:c r="B102" s="16"/>
      <x:c r="C102" s="7"/>
      <x:c r="D102" s="7"/>
      <x:c r="E102" s="7"/>
      <x:c r="F102" s="7"/>
      <x:c r="G102" s="7"/>
      <x:c r="H102" s="7"/>
      <x:c r="I102" s="7"/>
      <x:c r="J102" s="7"/>
      <x:c r="K102" s="7"/>
      <x:c r="L102" s="7"/>
    </x:row>
    <x:row r="103" ht="26" customHeight="1">
      <x:c r="A103" s="16"/>
      <x:c r="B103" s="16"/>
      <x:c r="C103" s="7"/>
      <x:c r="D103" s="7"/>
      <x:c r="E103" s="7"/>
      <x:c r="F103" s="7"/>
      <x:c r="G103" s="7"/>
      <x:c r="H103" s="7"/>
      <x:c r="I103" s="7"/>
      <x:c r="J103" s="7"/>
      <x:c r="K103" s="7"/>
      <x:c r="L103" s="7"/>
    </x:row>
    <x:row r="104" ht="26" customHeight="1">
      <x:c r="A104" s="16"/>
      <x:c r="B104" s="16"/>
      <x:c r="C104" s="7"/>
      <x:c r="D104" s="7"/>
      <x:c r="E104" s="7"/>
      <x:c r="F104" s="7"/>
      <x:c r="G104" s="7"/>
      <x:c r="H104" s="7"/>
      <x:c r="I104" s="7"/>
      <x:c r="J104" s="7"/>
      <x:c r="K104" s="7"/>
      <x:c r="L104" s="7"/>
    </x:row>
    <x:row r="105" ht="26" customHeight="1">
      <x:c r="A105" s="16"/>
      <x:c r="B105" s="16"/>
      <x:c r="C105" s="7"/>
      <x:c r="D105" s="7"/>
      <x:c r="E105" s="7"/>
      <x:c r="F105" s="7"/>
      <x:c r="G105" s="7"/>
      <x:c r="H105" s="7"/>
      <x:c r="I105" s="7"/>
      <x:c r="J105" s="7"/>
      <x:c r="K105" s="7"/>
      <x:c r="L105" s="7"/>
    </x:row>
    <x:row r="106" ht="26" customHeight="1">
      <x:c r="A106" s="16"/>
      <x:c r="B106" s="16"/>
      <x:c r="C106" s="7"/>
      <x:c r="D106" s="7"/>
      <x:c r="E106" s="7"/>
      <x:c r="F106" s="7"/>
      <x:c r="G106" s="7"/>
      <x:c r="H106" s="7"/>
      <x:c r="I106" s="7"/>
      <x:c r="J106" s="7"/>
      <x:c r="K106" s="7"/>
      <x:c r="L106" s="7"/>
    </x:row>
  </x:sheetData>
  <x:dataValidations count="1">
    <x:dataValidation type="list" sqref="F7:F106">
      <x:formula1>"Reviewed,Not reviewed,Partial"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0" hidden="0" customWidth="1"/>
    <x:col min="2" max="2" width="22" hidden="0" customWidth="1"/>
    <x:col min="3" max="3" width="25" hidden="0" customWidth="1"/>
    <x:col min="4" max="4" width="38" hidden="0" customWidth="1"/>
    <x:col min="5" max="5" width="40" hidden="0" customWidth="1"/>
    <x:col min="6" max="6" width="36" hidden="0" customWidth="1"/>
    <x:col min="7" max="7" width="16" hidden="0" customWidth="1"/>
    <x:col min="8" max="8" width="12" hidden="0" customWidth="1"/>
    <x:col min="9" max="9" width="20" hidden="0" customWidth="1"/>
    <x:col min="10" max="10" width="20" hidden="0" customWidth="1"/>
    <x:col min="11" max="11" width="14" hidden="0" customWidth="1"/>
    <x:col min="12" max="12" width="16" hidden="0" customWidth="1"/>
    <x:col min="13" max="13" width="16" hidden="0" customWidth="1"/>
    <x:col min="14" max="14" width="18" hidden="0" customWidth="1"/>
    <x:col min="15" max="15" width="18" hidden="0" customWidth="1"/>
    <x:col min="16" max="16" width="34" hidden="0" customWidth="1"/>
    <x:col min="17" max="17" width="20" hidden="0" customWidth="1"/>
    <x:col min="18" max="18" width="34" hidden="0" customWidth="1"/>
    <x:col min="19" max="19" width="36" hidden="0" customWidth="1"/>
  </x:cols>
  <x:sheetData>
    <x:row r="1">
      <x:c r="A1" s="2" t="str">
        <x:v>Quantity and cost schedule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</x:row>
    <x:row r="3">
      <x:c r="A3" s="3" t="str">
        <x:v>100 reserved rows. Blank/TBD inputs remain unresolved. Enter additions as supported item lines with their cost bases.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</x:row>
    <x:row r="6" ht="44" customHeight="1">
      <x:c r="A6" s="6" t="str">
        <x:v>Line ID</x:v>
      </x:c>
      <x:c r="B6" s="6" t="str">
        <x:v>Package</x:v>
      </x:c>
      <x:c r="C6" s="6" t="str">
        <x:v>Location</x:v>
      </x:c>
      <x:c r="D6" s="6" t="str">
        <x:v>Scope / description</x:v>
      </x:c>
      <x:c r="E6" s="6" t="str">
        <x:v>Drawing / revision / region</x:v>
      </x:c>
      <x:c r="F6" s="6" t="str">
        <x:v>Dimension calculation</x:v>
      </x:c>
      <x:c r="G6" s="6" t="str">
        <x:v>Quantity</x:v>
      </x:c>
      <x:c r="H6" s="6" t="str">
        <x:v>Unit</x:v>
      </x:c>
      <x:c r="I6" s="6" t="str">
        <x:v>Quantity basis</x:v>
      </x:c>
      <x:c r="J6" s="6" t="str">
        <x:v>Rate ID</x:v>
      </x:c>
      <x:c r="K6" s="6" t="str">
        <x:v>Rate unit</x:v>
      </x:c>
      <x:c r="L6" s="6" t="str">
        <x:v>Rate currency</x:v>
      </x:c>
      <x:c r="M6" s="6" t="str">
        <x:v>Unit rate</x:v>
      </x:c>
      <x:c r="N6" s="6" t="str">
        <x:v>Price basis</x:v>
      </x:c>
      <x:c r="O6" s="6" t="str">
        <x:v>Amount</x:v>
      </x:c>
      <x:c r="P6" s="6" t="str">
        <x:v>Input query</x:v>
      </x:c>
      <x:c r="Q6" s="6" t="str">
        <x:v>Scope query ID</x:v>
      </x:c>
      <x:c r="R6" s="6" t="str">
        <x:v>Measurement rule</x:v>
      </x:c>
      <x:c r="S6" s="6" t="str">
        <x:v>Notes</x:v>
      </x:c>
    </x:row>
    <x:row r="7" ht="26" customHeight="1">
      <x:c r="A7" s="16"/>
      <x:c r="B7" s="7"/>
      <x:c r="C7" s="7"/>
      <x:c r="D7" s="7"/>
      <x:c r="E7" s="7"/>
      <x:c r="F7" s="7"/>
      <x:c r="G7" s="10"/>
      <x:c r="H7" s="7"/>
      <x:c r="I7" s="7"/>
      <x:c r="J7" s="16"/>
      <x:c r="K7" s="14" t="str">
        <x:f>IF(OR(J7="",COUNTIF('Rates'!$A$7:$A$106,J7)&lt;&gt;1),"",VLOOKUP(J7,'Rates'!$A$7:$M$106,4,FALSE))</x:f>
      </x:c>
      <x:c r="L7" s="14" t="str">
        <x:f>IF(OR(J7="",COUNTIF('Rates'!$A$7:$A$106,J7)&lt;&gt;1),"",VLOOKUP(J7,'Rates'!$A$7:$M$106,5,FALSE))</x:f>
      </x:c>
      <x:c r="M7" s="15" t="str">
        <x:f>IF(OR(J7="",COUNTIF('Rates'!$A$7:$A$106,J7)&lt;&gt;1),"",IF(VLOOKUP(J7,'Rates'!$A$7:$M$106,13,FALSE)&lt;&gt;"","",VLOOKUP(J7,'Rates'!$A$7:$M$106,3,FALSE)))</x:f>
      </x:c>
      <x:c r="N7" s="15" t="str">
        <x:f>IF(OR(J7="",COUNTIF('Rates'!$A$7:$A$106,J7)&lt;&gt;1),"",VLOOKUP(J7,'Rates'!$A$7:$M$106,11,FALSE))</x:f>
      </x:c>
      <x:c r="O7" s="15" t="str">
        <x:f>IF(OR(A7="",P7&lt;&gt;""),"",G7*M7)</x:f>
      </x:c>
      <x:c r="P7" s="14" t="str">
        <x:f>IF(A7="","",IF(COUNTIF($A$7:$A$106,A7)&lt;&gt;1,"Duplicate line ID",IF(AND(I7&lt;&gt;"Measured",I7&lt;&gt;"Provisional"),"Unmeasured or invalid quantity basis",IF(NOT(ISNUMBER(G7)),"Missing numeric quantity",IF(H7="","Missing quantity unit",IF(J7="","Missing rate",IF(COUNTIF('Rates'!$A$7:$A$106,J7)&lt;&gt;1,"Missing or duplicate rate ID",IF(VLOOKUP(J7,'Rates'!$A$7:$M$106,13,FALSE)&lt;&gt;"",VLOOKUP(J7,'Rates'!$A$7:$M$106,13,FALSE),IF(H7&lt;&gt;K7,"Unit mismatch",IF('Summary'!$B$8="","Missing project currency",IF(L7&lt;&gt;'Summary'!$B$8,"Currency mismatch","")))))))))))</x:f>
      </x:c>
      <x:c r="Q7" s="16"/>
      <x:c r="R7" s="7"/>
      <x:c r="S7" s="7"/>
    </x:row>
    <x:row r="8" ht="26" customHeight="1">
      <x:c r="A8" s="16"/>
      <x:c r="B8" s="7"/>
      <x:c r="C8" s="7"/>
      <x:c r="D8" s="7"/>
      <x:c r="E8" s="7"/>
      <x:c r="F8" s="7"/>
      <x:c r="G8" s="10"/>
      <x:c r="H8" s="7"/>
      <x:c r="I8" s="7"/>
      <x:c r="J8" s="16"/>
      <x:c r="K8" s="14" t="str">
        <x:f>IF(OR(J8="",COUNTIF('Rates'!$A$7:$A$106,J8)&lt;&gt;1),"",VLOOKUP(J8,'Rates'!$A$7:$M$106,4,FALSE))</x:f>
      </x:c>
      <x:c r="L8" s="14" t="str">
        <x:f>IF(OR(J8="",COUNTIF('Rates'!$A$7:$A$106,J8)&lt;&gt;1),"",VLOOKUP(J8,'Rates'!$A$7:$M$106,5,FALSE))</x:f>
      </x:c>
      <x:c r="M8" s="15" t="str">
        <x:f>IF(OR(J8="",COUNTIF('Rates'!$A$7:$A$106,J8)&lt;&gt;1),"",IF(VLOOKUP(J8,'Rates'!$A$7:$M$106,13,FALSE)&lt;&gt;"","",VLOOKUP(J8,'Rates'!$A$7:$M$106,3,FALSE)))</x:f>
      </x:c>
      <x:c r="N8" s="15" t="str">
        <x:f>IF(OR(J8="",COUNTIF('Rates'!$A$7:$A$106,J8)&lt;&gt;1),"",VLOOKUP(J8,'Rates'!$A$7:$M$106,11,FALSE))</x:f>
      </x:c>
      <x:c r="O8" s="15" t="str">
        <x:f>IF(OR(A8="",P8&lt;&gt;""),"",G8*M8)</x:f>
      </x:c>
      <x:c r="P8" s="14" t="str">
        <x:f>IF(A8="","",IF(COUNTIF($A$7:$A$106,A8)&lt;&gt;1,"Duplicate line ID",IF(AND(I8&lt;&gt;"Measured",I8&lt;&gt;"Provisional"),"Unmeasured or invalid quantity basis",IF(NOT(ISNUMBER(G8)),"Missing numeric quantity",IF(H8="","Missing quantity unit",IF(J8="","Missing rate",IF(COUNTIF('Rates'!$A$7:$A$106,J8)&lt;&gt;1,"Missing or duplicate rate ID",IF(VLOOKUP(J8,'Rates'!$A$7:$M$106,13,FALSE)&lt;&gt;"",VLOOKUP(J8,'Rates'!$A$7:$M$106,13,FALSE),IF(H8&lt;&gt;K8,"Unit mismatch",IF('Summary'!$B$8="","Missing project currency",IF(L8&lt;&gt;'Summary'!$B$8,"Currency mismatch","")))))))))))</x:f>
      </x:c>
      <x:c r="Q8" s="16"/>
      <x:c r="R8" s="7"/>
      <x:c r="S8" s="7"/>
    </x:row>
    <x:row r="9" ht="26" customHeight="1">
      <x:c r="A9" s="16"/>
      <x:c r="B9" s="7"/>
      <x:c r="C9" s="7"/>
      <x:c r="D9" s="7"/>
      <x:c r="E9" s="7"/>
      <x:c r="F9" s="7"/>
      <x:c r="G9" s="10"/>
      <x:c r="H9" s="7"/>
      <x:c r="I9" s="7"/>
      <x:c r="J9" s="16"/>
      <x:c r="K9" s="14" t="str">
        <x:f>IF(OR(J9="",COUNTIF('Rates'!$A$7:$A$106,J9)&lt;&gt;1),"",VLOOKUP(J9,'Rates'!$A$7:$M$106,4,FALSE))</x:f>
      </x:c>
      <x:c r="L9" s="14" t="str">
        <x:f>IF(OR(J9="",COUNTIF('Rates'!$A$7:$A$106,J9)&lt;&gt;1),"",VLOOKUP(J9,'Rates'!$A$7:$M$106,5,FALSE))</x:f>
      </x:c>
      <x:c r="M9" s="15" t="str">
        <x:f>IF(OR(J9="",COUNTIF('Rates'!$A$7:$A$106,J9)&lt;&gt;1),"",IF(VLOOKUP(J9,'Rates'!$A$7:$M$106,13,FALSE)&lt;&gt;"","",VLOOKUP(J9,'Rates'!$A$7:$M$106,3,FALSE)))</x:f>
      </x:c>
      <x:c r="N9" s="15" t="str">
        <x:f>IF(OR(J9="",COUNTIF('Rates'!$A$7:$A$106,J9)&lt;&gt;1),"",VLOOKUP(J9,'Rates'!$A$7:$M$106,11,FALSE))</x:f>
      </x:c>
      <x:c r="O9" s="15" t="str">
        <x:f>IF(OR(A9="",P9&lt;&gt;""),"",G9*M9)</x:f>
      </x:c>
      <x:c r="P9" s="14" t="str">
        <x:f>IF(A9="","",IF(COUNTIF($A$7:$A$106,A9)&lt;&gt;1,"Duplicate line ID",IF(AND(I9&lt;&gt;"Measured",I9&lt;&gt;"Provisional"),"Unmeasured or invalid quantity basis",IF(NOT(ISNUMBER(G9)),"Missing numeric quantity",IF(H9="","Missing quantity unit",IF(J9="","Missing rate",IF(COUNTIF('Rates'!$A$7:$A$106,J9)&lt;&gt;1,"Missing or duplicate rate ID",IF(VLOOKUP(J9,'Rates'!$A$7:$M$106,13,FALSE)&lt;&gt;"",VLOOKUP(J9,'Rates'!$A$7:$M$106,13,FALSE),IF(H9&lt;&gt;K9,"Unit mismatch",IF('Summary'!$B$8="","Missing project currency",IF(L9&lt;&gt;'Summary'!$B$8,"Currency mismatch","")))))))))))</x:f>
      </x:c>
      <x:c r="Q9" s="16"/>
      <x:c r="R9" s="7"/>
      <x:c r="S9" s="7"/>
    </x:row>
    <x:row r="10" ht="26" customHeight="1">
      <x:c r="A10" s="16"/>
      <x:c r="B10" s="7"/>
      <x:c r="C10" s="7"/>
      <x:c r="D10" s="7"/>
      <x:c r="E10" s="7"/>
      <x:c r="F10" s="7"/>
      <x:c r="G10" s="10"/>
      <x:c r="H10" s="7"/>
      <x:c r="I10" s="7"/>
      <x:c r="J10" s="16"/>
      <x:c r="K10" s="14" t="str">
        <x:f>IF(OR(J10="",COUNTIF('Rates'!$A$7:$A$106,J10)&lt;&gt;1),"",VLOOKUP(J10,'Rates'!$A$7:$M$106,4,FALSE))</x:f>
      </x:c>
      <x:c r="L10" s="14" t="str">
        <x:f>IF(OR(J10="",COUNTIF('Rates'!$A$7:$A$106,J10)&lt;&gt;1),"",VLOOKUP(J10,'Rates'!$A$7:$M$106,5,FALSE))</x:f>
      </x:c>
      <x:c r="M10" s="15" t="str">
        <x:f>IF(OR(J10="",COUNTIF('Rates'!$A$7:$A$106,J10)&lt;&gt;1),"",IF(VLOOKUP(J10,'Rates'!$A$7:$M$106,13,FALSE)&lt;&gt;"","",VLOOKUP(J10,'Rates'!$A$7:$M$106,3,FALSE)))</x:f>
      </x:c>
      <x:c r="N10" s="15" t="str">
        <x:f>IF(OR(J10="",COUNTIF('Rates'!$A$7:$A$106,J10)&lt;&gt;1),"",VLOOKUP(J10,'Rates'!$A$7:$M$106,11,FALSE))</x:f>
      </x:c>
      <x:c r="O10" s="15" t="str">
        <x:f>IF(OR(A10="",P10&lt;&gt;""),"",G10*M10)</x:f>
      </x:c>
      <x:c r="P10" s="14" t="str">
        <x:f>IF(A10="","",IF(COUNTIF($A$7:$A$106,A10)&lt;&gt;1,"Duplicate line ID",IF(AND(I10&lt;&gt;"Measured",I10&lt;&gt;"Provisional"),"Unmeasured or invalid quantity basis",IF(NOT(ISNUMBER(G10)),"Missing numeric quantity",IF(H10="","Missing quantity unit",IF(J10="","Missing rate",IF(COUNTIF('Rates'!$A$7:$A$106,J10)&lt;&gt;1,"Missing or duplicate rate ID",IF(VLOOKUP(J10,'Rates'!$A$7:$M$106,13,FALSE)&lt;&gt;"",VLOOKUP(J10,'Rates'!$A$7:$M$106,13,FALSE),IF(H10&lt;&gt;K10,"Unit mismatch",IF('Summary'!$B$8="","Missing project currency",IF(L10&lt;&gt;'Summary'!$B$8,"Currency mismatch","")))))))))))</x:f>
      </x:c>
      <x:c r="Q10" s="16"/>
      <x:c r="R10" s="7"/>
      <x:c r="S10" s="7"/>
    </x:row>
    <x:row r="11" ht="26" customHeight="1">
      <x:c r="A11" s="16"/>
      <x:c r="B11" s="7"/>
      <x:c r="C11" s="7"/>
      <x:c r="D11" s="7"/>
      <x:c r="E11" s="7"/>
      <x:c r="F11" s="7"/>
      <x:c r="G11" s="10"/>
      <x:c r="H11" s="7"/>
      <x:c r="I11" s="7"/>
      <x:c r="J11" s="16"/>
      <x:c r="K11" s="14" t="str">
        <x:f>IF(OR(J11="",COUNTIF('Rates'!$A$7:$A$106,J11)&lt;&gt;1),"",VLOOKUP(J11,'Rates'!$A$7:$M$106,4,FALSE))</x:f>
      </x:c>
      <x:c r="L11" s="14" t="str">
        <x:f>IF(OR(J11="",COUNTIF('Rates'!$A$7:$A$106,J11)&lt;&gt;1),"",VLOOKUP(J11,'Rates'!$A$7:$M$106,5,FALSE))</x:f>
      </x:c>
      <x:c r="M11" s="15" t="str">
        <x:f>IF(OR(J11="",COUNTIF('Rates'!$A$7:$A$106,J11)&lt;&gt;1),"",IF(VLOOKUP(J11,'Rates'!$A$7:$M$106,13,FALSE)&lt;&gt;"","",VLOOKUP(J11,'Rates'!$A$7:$M$106,3,FALSE)))</x:f>
      </x:c>
      <x:c r="N11" s="15" t="str">
        <x:f>IF(OR(J11="",COUNTIF('Rates'!$A$7:$A$106,J11)&lt;&gt;1),"",VLOOKUP(J11,'Rates'!$A$7:$M$106,11,FALSE))</x:f>
      </x:c>
      <x:c r="O11" s="15" t="str">
        <x:f>IF(OR(A11="",P11&lt;&gt;""),"",G11*M11)</x:f>
      </x:c>
      <x:c r="P11" s="14" t="str">
        <x:f>IF(A11="","",IF(COUNTIF($A$7:$A$106,A11)&lt;&gt;1,"Duplicate line ID",IF(AND(I11&lt;&gt;"Measured",I11&lt;&gt;"Provisional"),"Unmeasured or invalid quantity basis",IF(NOT(ISNUMBER(G11)),"Missing numeric quantity",IF(H11="","Missing quantity unit",IF(J11="","Missing rate",IF(COUNTIF('Rates'!$A$7:$A$106,J11)&lt;&gt;1,"Missing or duplicate rate ID",IF(VLOOKUP(J11,'Rates'!$A$7:$M$106,13,FALSE)&lt;&gt;"",VLOOKUP(J11,'Rates'!$A$7:$M$106,13,FALSE),IF(H11&lt;&gt;K11,"Unit mismatch",IF('Summary'!$B$8="","Missing project currency",IF(L11&lt;&gt;'Summary'!$B$8,"Currency mismatch","")))))))))))</x:f>
      </x:c>
      <x:c r="Q11" s="16"/>
      <x:c r="R11" s="7"/>
      <x:c r="S11" s="7"/>
    </x:row>
    <x:row r="12" ht="26" customHeight="1">
      <x:c r="A12" s="16"/>
      <x:c r="B12" s="7"/>
      <x:c r="C12" s="7"/>
      <x:c r="D12" s="7"/>
      <x:c r="E12" s="7"/>
      <x:c r="F12" s="7"/>
      <x:c r="G12" s="10"/>
      <x:c r="H12" s="7"/>
      <x:c r="I12" s="7"/>
      <x:c r="J12" s="16"/>
      <x:c r="K12" s="14" t="str">
        <x:f>IF(OR(J12="",COUNTIF('Rates'!$A$7:$A$106,J12)&lt;&gt;1),"",VLOOKUP(J12,'Rates'!$A$7:$M$106,4,FALSE))</x:f>
      </x:c>
      <x:c r="L12" s="14" t="str">
        <x:f>IF(OR(J12="",COUNTIF('Rates'!$A$7:$A$106,J12)&lt;&gt;1),"",VLOOKUP(J12,'Rates'!$A$7:$M$106,5,FALSE))</x:f>
      </x:c>
      <x:c r="M12" s="15" t="str">
        <x:f>IF(OR(J12="",COUNTIF('Rates'!$A$7:$A$106,J12)&lt;&gt;1),"",IF(VLOOKUP(J12,'Rates'!$A$7:$M$106,13,FALSE)&lt;&gt;"","",VLOOKUP(J12,'Rates'!$A$7:$M$106,3,FALSE)))</x:f>
      </x:c>
      <x:c r="N12" s="15" t="str">
        <x:f>IF(OR(J12="",COUNTIF('Rates'!$A$7:$A$106,J12)&lt;&gt;1),"",VLOOKUP(J12,'Rates'!$A$7:$M$106,11,FALSE))</x:f>
      </x:c>
      <x:c r="O12" s="15" t="str">
        <x:f>IF(OR(A12="",P12&lt;&gt;""),"",G12*M12)</x:f>
      </x:c>
      <x:c r="P12" s="14" t="str">
        <x:f>IF(A12="","",IF(COUNTIF($A$7:$A$106,A12)&lt;&gt;1,"Duplicate line ID",IF(AND(I12&lt;&gt;"Measured",I12&lt;&gt;"Provisional"),"Unmeasured or invalid quantity basis",IF(NOT(ISNUMBER(G12)),"Missing numeric quantity",IF(H12="","Missing quantity unit",IF(J12="","Missing rate",IF(COUNTIF('Rates'!$A$7:$A$106,J12)&lt;&gt;1,"Missing or duplicate rate ID",IF(VLOOKUP(J12,'Rates'!$A$7:$M$106,13,FALSE)&lt;&gt;"",VLOOKUP(J12,'Rates'!$A$7:$M$106,13,FALSE),IF(H12&lt;&gt;K12,"Unit mismatch",IF('Summary'!$B$8="","Missing project currency",IF(L12&lt;&gt;'Summary'!$B$8,"Currency mismatch","")))))))))))</x:f>
      </x:c>
      <x:c r="Q12" s="16"/>
      <x:c r="R12" s="7"/>
      <x:c r="S12" s="7"/>
    </x:row>
    <x:row r="13" ht="26" customHeight="1">
      <x:c r="A13" s="16"/>
      <x:c r="B13" s="7"/>
      <x:c r="C13" s="7"/>
      <x:c r="D13" s="7"/>
      <x:c r="E13" s="7"/>
      <x:c r="F13" s="7"/>
      <x:c r="G13" s="10"/>
      <x:c r="H13" s="7"/>
      <x:c r="I13" s="7"/>
      <x:c r="J13" s="16"/>
      <x:c r="K13" s="14" t="str">
        <x:f>IF(OR(J13="",COUNTIF('Rates'!$A$7:$A$106,J13)&lt;&gt;1),"",VLOOKUP(J13,'Rates'!$A$7:$M$106,4,FALSE))</x:f>
      </x:c>
      <x:c r="L13" s="14" t="str">
        <x:f>IF(OR(J13="",COUNTIF('Rates'!$A$7:$A$106,J13)&lt;&gt;1),"",VLOOKUP(J13,'Rates'!$A$7:$M$106,5,FALSE))</x:f>
      </x:c>
      <x:c r="M13" s="15" t="str">
        <x:f>IF(OR(J13="",COUNTIF('Rates'!$A$7:$A$106,J13)&lt;&gt;1),"",IF(VLOOKUP(J13,'Rates'!$A$7:$M$106,13,FALSE)&lt;&gt;"","",VLOOKUP(J13,'Rates'!$A$7:$M$106,3,FALSE)))</x:f>
      </x:c>
      <x:c r="N13" s="15" t="str">
        <x:f>IF(OR(J13="",COUNTIF('Rates'!$A$7:$A$106,J13)&lt;&gt;1),"",VLOOKUP(J13,'Rates'!$A$7:$M$106,11,FALSE))</x:f>
      </x:c>
      <x:c r="O13" s="15" t="str">
        <x:f>IF(OR(A13="",P13&lt;&gt;""),"",G13*M13)</x:f>
      </x:c>
      <x:c r="P13" s="14" t="str">
        <x:f>IF(A13="","",IF(COUNTIF($A$7:$A$106,A13)&lt;&gt;1,"Duplicate line ID",IF(AND(I13&lt;&gt;"Measured",I13&lt;&gt;"Provisional"),"Unmeasured or invalid quantity basis",IF(NOT(ISNUMBER(G13)),"Missing numeric quantity",IF(H13="","Missing quantity unit",IF(J13="","Missing rate",IF(COUNTIF('Rates'!$A$7:$A$106,J13)&lt;&gt;1,"Missing or duplicate rate ID",IF(VLOOKUP(J13,'Rates'!$A$7:$M$106,13,FALSE)&lt;&gt;"",VLOOKUP(J13,'Rates'!$A$7:$M$106,13,FALSE),IF(H13&lt;&gt;K13,"Unit mismatch",IF('Summary'!$B$8="","Missing project currency",IF(L13&lt;&gt;'Summary'!$B$8,"Currency mismatch","")))))))))))</x:f>
      </x:c>
      <x:c r="Q13" s="16"/>
      <x:c r="R13" s="7"/>
      <x:c r="S13" s="7"/>
    </x:row>
    <x:row r="14" ht="26" customHeight="1">
      <x:c r="A14" s="16"/>
      <x:c r="B14" s="7"/>
      <x:c r="C14" s="7"/>
      <x:c r="D14" s="7"/>
      <x:c r="E14" s="7"/>
      <x:c r="F14" s="7"/>
      <x:c r="G14" s="10"/>
      <x:c r="H14" s="7"/>
      <x:c r="I14" s="7"/>
      <x:c r="J14" s="16"/>
      <x:c r="K14" s="14" t="str">
        <x:f>IF(OR(J14="",COUNTIF('Rates'!$A$7:$A$106,J14)&lt;&gt;1),"",VLOOKUP(J14,'Rates'!$A$7:$M$106,4,FALSE))</x:f>
      </x:c>
      <x:c r="L14" s="14" t="str">
        <x:f>IF(OR(J14="",COUNTIF('Rates'!$A$7:$A$106,J14)&lt;&gt;1),"",VLOOKUP(J14,'Rates'!$A$7:$M$106,5,FALSE))</x:f>
      </x:c>
      <x:c r="M14" s="15" t="str">
        <x:f>IF(OR(J14="",COUNTIF('Rates'!$A$7:$A$106,J14)&lt;&gt;1),"",IF(VLOOKUP(J14,'Rates'!$A$7:$M$106,13,FALSE)&lt;&gt;"","",VLOOKUP(J14,'Rates'!$A$7:$M$106,3,FALSE)))</x:f>
      </x:c>
      <x:c r="N14" s="15" t="str">
        <x:f>IF(OR(J14="",COUNTIF('Rates'!$A$7:$A$106,J14)&lt;&gt;1),"",VLOOKUP(J14,'Rates'!$A$7:$M$106,11,FALSE))</x:f>
      </x:c>
      <x:c r="O14" s="15" t="str">
        <x:f>IF(OR(A14="",P14&lt;&gt;""),"",G14*M14)</x:f>
      </x:c>
      <x:c r="P14" s="14" t="str">
        <x:f>IF(A14="","",IF(COUNTIF($A$7:$A$106,A14)&lt;&gt;1,"Duplicate line ID",IF(AND(I14&lt;&gt;"Measured",I14&lt;&gt;"Provisional"),"Unmeasured or invalid quantity basis",IF(NOT(ISNUMBER(G14)),"Missing numeric quantity",IF(H14="","Missing quantity unit",IF(J14="","Missing rate",IF(COUNTIF('Rates'!$A$7:$A$106,J14)&lt;&gt;1,"Missing or duplicate rate ID",IF(VLOOKUP(J14,'Rates'!$A$7:$M$106,13,FALSE)&lt;&gt;"",VLOOKUP(J14,'Rates'!$A$7:$M$106,13,FALSE),IF(H14&lt;&gt;K14,"Unit mismatch",IF('Summary'!$B$8="","Missing project currency",IF(L14&lt;&gt;'Summary'!$B$8,"Currency mismatch","")))))))))))</x:f>
      </x:c>
      <x:c r="Q14" s="16"/>
      <x:c r="R14" s="7"/>
      <x:c r="S14" s="7"/>
    </x:row>
    <x:row r="15" ht="26" customHeight="1">
      <x:c r="A15" s="16"/>
      <x:c r="B15" s="7"/>
      <x:c r="C15" s="7"/>
      <x:c r="D15" s="7"/>
      <x:c r="E15" s="7"/>
      <x:c r="F15" s="7"/>
      <x:c r="G15" s="10"/>
      <x:c r="H15" s="7"/>
      <x:c r="I15" s="7"/>
      <x:c r="J15" s="16"/>
      <x:c r="K15" s="14" t="str">
        <x:f>IF(OR(J15="",COUNTIF('Rates'!$A$7:$A$106,J15)&lt;&gt;1),"",VLOOKUP(J15,'Rates'!$A$7:$M$106,4,FALSE))</x:f>
      </x:c>
      <x:c r="L15" s="14" t="str">
        <x:f>IF(OR(J15="",COUNTIF('Rates'!$A$7:$A$106,J15)&lt;&gt;1),"",VLOOKUP(J15,'Rates'!$A$7:$M$106,5,FALSE))</x:f>
      </x:c>
      <x:c r="M15" s="15" t="str">
        <x:f>IF(OR(J15="",COUNTIF('Rates'!$A$7:$A$106,J15)&lt;&gt;1),"",IF(VLOOKUP(J15,'Rates'!$A$7:$M$106,13,FALSE)&lt;&gt;"","",VLOOKUP(J15,'Rates'!$A$7:$M$106,3,FALSE)))</x:f>
      </x:c>
      <x:c r="N15" s="15" t="str">
        <x:f>IF(OR(J15="",COUNTIF('Rates'!$A$7:$A$106,J15)&lt;&gt;1),"",VLOOKUP(J15,'Rates'!$A$7:$M$106,11,FALSE))</x:f>
      </x:c>
      <x:c r="O15" s="15" t="str">
        <x:f>IF(OR(A15="",P15&lt;&gt;""),"",G15*M15)</x:f>
      </x:c>
      <x:c r="P15" s="14" t="str">
        <x:f>IF(A15="","",IF(COUNTIF($A$7:$A$106,A15)&lt;&gt;1,"Duplicate line ID",IF(AND(I15&lt;&gt;"Measured",I15&lt;&gt;"Provisional"),"Unmeasured or invalid quantity basis",IF(NOT(ISNUMBER(G15)),"Missing numeric quantity",IF(H15="","Missing quantity unit",IF(J15="","Missing rate",IF(COUNTIF('Rates'!$A$7:$A$106,J15)&lt;&gt;1,"Missing or duplicate rate ID",IF(VLOOKUP(J15,'Rates'!$A$7:$M$106,13,FALSE)&lt;&gt;"",VLOOKUP(J15,'Rates'!$A$7:$M$106,13,FALSE),IF(H15&lt;&gt;K15,"Unit mismatch",IF('Summary'!$B$8="","Missing project currency",IF(L15&lt;&gt;'Summary'!$B$8,"Currency mismatch","")))))))))))</x:f>
      </x:c>
      <x:c r="Q15" s="16"/>
      <x:c r="R15" s="7"/>
      <x:c r="S15" s="7"/>
    </x:row>
    <x:row r="16" ht="26" customHeight="1">
      <x:c r="A16" s="16"/>
      <x:c r="B16" s="7"/>
      <x:c r="C16" s="7"/>
      <x:c r="D16" s="7"/>
      <x:c r="E16" s="7"/>
      <x:c r="F16" s="7"/>
      <x:c r="G16" s="10"/>
      <x:c r="H16" s="7"/>
      <x:c r="I16" s="7"/>
      <x:c r="J16" s="16"/>
      <x:c r="K16" s="14" t="str">
        <x:f>IF(OR(J16="",COUNTIF('Rates'!$A$7:$A$106,J16)&lt;&gt;1),"",VLOOKUP(J16,'Rates'!$A$7:$M$106,4,FALSE))</x:f>
      </x:c>
      <x:c r="L16" s="14" t="str">
        <x:f>IF(OR(J16="",COUNTIF('Rates'!$A$7:$A$106,J16)&lt;&gt;1),"",VLOOKUP(J16,'Rates'!$A$7:$M$106,5,FALSE))</x:f>
      </x:c>
      <x:c r="M16" s="15" t="str">
        <x:f>IF(OR(J16="",COUNTIF('Rates'!$A$7:$A$106,J16)&lt;&gt;1),"",IF(VLOOKUP(J16,'Rates'!$A$7:$M$106,13,FALSE)&lt;&gt;"","",VLOOKUP(J16,'Rates'!$A$7:$M$106,3,FALSE)))</x:f>
      </x:c>
      <x:c r="N16" s="15" t="str">
        <x:f>IF(OR(J16="",COUNTIF('Rates'!$A$7:$A$106,J16)&lt;&gt;1),"",VLOOKUP(J16,'Rates'!$A$7:$M$106,11,FALSE))</x:f>
      </x:c>
      <x:c r="O16" s="15" t="str">
        <x:f>IF(OR(A16="",P16&lt;&gt;""),"",G16*M16)</x:f>
      </x:c>
      <x:c r="P16" s="14" t="str">
        <x:f>IF(A16="","",IF(COUNTIF($A$7:$A$106,A16)&lt;&gt;1,"Duplicate line ID",IF(AND(I16&lt;&gt;"Measured",I16&lt;&gt;"Provisional"),"Unmeasured or invalid quantity basis",IF(NOT(ISNUMBER(G16)),"Missing numeric quantity",IF(H16="","Missing quantity unit",IF(J16="","Missing rate",IF(COUNTIF('Rates'!$A$7:$A$106,J16)&lt;&gt;1,"Missing or duplicate rate ID",IF(VLOOKUP(J16,'Rates'!$A$7:$M$106,13,FALSE)&lt;&gt;"",VLOOKUP(J16,'Rates'!$A$7:$M$106,13,FALSE),IF(H16&lt;&gt;K16,"Unit mismatch",IF('Summary'!$B$8="","Missing project currency",IF(L16&lt;&gt;'Summary'!$B$8,"Currency mismatch","")))))))))))</x:f>
      </x:c>
      <x:c r="Q16" s="16"/>
      <x:c r="R16" s="7"/>
      <x:c r="S16" s="7"/>
    </x:row>
    <x:row r="17" ht="26" customHeight="1">
      <x:c r="A17" s="16"/>
      <x:c r="B17" s="7"/>
      <x:c r="C17" s="7"/>
      <x:c r="D17" s="7"/>
      <x:c r="E17" s="7"/>
      <x:c r="F17" s="7"/>
      <x:c r="G17" s="10"/>
      <x:c r="H17" s="7"/>
      <x:c r="I17" s="7"/>
      <x:c r="J17" s="16"/>
      <x:c r="K17" s="14" t="str">
        <x:f>IF(OR(J17="",COUNTIF('Rates'!$A$7:$A$106,J17)&lt;&gt;1),"",VLOOKUP(J17,'Rates'!$A$7:$M$106,4,FALSE))</x:f>
      </x:c>
      <x:c r="L17" s="14" t="str">
        <x:f>IF(OR(J17="",COUNTIF('Rates'!$A$7:$A$106,J17)&lt;&gt;1),"",VLOOKUP(J17,'Rates'!$A$7:$M$106,5,FALSE))</x:f>
      </x:c>
      <x:c r="M17" s="15" t="str">
        <x:f>IF(OR(J17="",COUNTIF('Rates'!$A$7:$A$106,J17)&lt;&gt;1),"",IF(VLOOKUP(J17,'Rates'!$A$7:$M$106,13,FALSE)&lt;&gt;"","",VLOOKUP(J17,'Rates'!$A$7:$M$106,3,FALSE)))</x:f>
      </x:c>
      <x:c r="N17" s="15" t="str">
        <x:f>IF(OR(J17="",COUNTIF('Rates'!$A$7:$A$106,J17)&lt;&gt;1),"",VLOOKUP(J17,'Rates'!$A$7:$M$106,11,FALSE))</x:f>
      </x:c>
      <x:c r="O17" s="15" t="str">
        <x:f>IF(OR(A17="",P17&lt;&gt;""),"",G17*M17)</x:f>
      </x:c>
      <x:c r="P17" s="14" t="str">
        <x:f>IF(A17="","",IF(COUNTIF($A$7:$A$106,A17)&lt;&gt;1,"Duplicate line ID",IF(AND(I17&lt;&gt;"Measured",I17&lt;&gt;"Provisional"),"Unmeasured or invalid quantity basis",IF(NOT(ISNUMBER(G17)),"Missing numeric quantity",IF(H17="","Missing quantity unit",IF(J17="","Missing rate",IF(COUNTIF('Rates'!$A$7:$A$106,J17)&lt;&gt;1,"Missing or duplicate rate ID",IF(VLOOKUP(J17,'Rates'!$A$7:$M$106,13,FALSE)&lt;&gt;"",VLOOKUP(J17,'Rates'!$A$7:$M$106,13,FALSE),IF(H17&lt;&gt;K17,"Unit mismatch",IF('Summary'!$B$8="","Missing project currency",IF(L17&lt;&gt;'Summary'!$B$8,"Currency mismatch","")))))))))))</x:f>
      </x:c>
      <x:c r="Q17" s="16"/>
      <x:c r="R17" s="7"/>
      <x:c r="S17" s="7"/>
    </x:row>
    <x:row r="18" ht="26" customHeight="1">
      <x:c r="A18" s="16"/>
      <x:c r="B18" s="7"/>
      <x:c r="C18" s="7"/>
      <x:c r="D18" s="7"/>
      <x:c r="E18" s="7"/>
      <x:c r="F18" s="7"/>
      <x:c r="G18" s="10"/>
      <x:c r="H18" s="7"/>
      <x:c r="I18" s="7"/>
      <x:c r="J18" s="16"/>
      <x:c r="K18" s="14" t="str">
        <x:f>IF(OR(J18="",COUNTIF('Rates'!$A$7:$A$106,J18)&lt;&gt;1),"",VLOOKUP(J18,'Rates'!$A$7:$M$106,4,FALSE))</x:f>
      </x:c>
      <x:c r="L18" s="14" t="str">
        <x:f>IF(OR(J18="",COUNTIF('Rates'!$A$7:$A$106,J18)&lt;&gt;1),"",VLOOKUP(J18,'Rates'!$A$7:$M$106,5,FALSE))</x:f>
      </x:c>
      <x:c r="M18" s="15" t="str">
        <x:f>IF(OR(J18="",COUNTIF('Rates'!$A$7:$A$106,J18)&lt;&gt;1),"",IF(VLOOKUP(J18,'Rates'!$A$7:$M$106,13,FALSE)&lt;&gt;"","",VLOOKUP(J18,'Rates'!$A$7:$M$106,3,FALSE)))</x:f>
      </x:c>
      <x:c r="N18" s="15" t="str">
        <x:f>IF(OR(J18="",COUNTIF('Rates'!$A$7:$A$106,J18)&lt;&gt;1),"",VLOOKUP(J18,'Rates'!$A$7:$M$106,11,FALSE))</x:f>
      </x:c>
      <x:c r="O18" s="15" t="str">
        <x:f>IF(OR(A18="",P18&lt;&gt;""),"",G18*M18)</x:f>
      </x:c>
      <x:c r="P18" s="14" t="str">
        <x:f>IF(A18="","",IF(COUNTIF($A$7:$A$106,A18)&lt;&gt;1,"Duplicate line ID",IF(AND(I18&lt;&gt;"Measured",I18&lt;&gt;"Provisional"),"Unmeasured or invalid quantity basis",IF(NOT(ISNUMBER(G18)),"Missing numeric quantity",IF(H18="","Missing quantity unit",IF(J18="","Missing rate",IF(COUNTIF('Rates'!$A$7:$A$106,J18)&lt;&gt;1,"Missing or duplicate rate ID",IF(VLOOKUP(J18,'Rates'!$A$7:$M$106,13,FALSE)&lt;&gt;"",VLOOKUP(J18,'Rates'!$A$7:$M$106,13,FALSE),IF(H18&lt;&gt;K18,"Unit mismatch",IF('Summary'!$B$8="","Missing project currency",IF(L18&lt;&gt;'Summary'!$B$8,"Currency mismatch","")))))))))))</x:f>
      </x:c>
      <x:c r="Q18" s="16"/>
      <x:c r="R18" s="7"/>
      <x:c r="S18" s="7"/>
    </x:row>
    <x:row r="19" ht="26" customHeight="1">
      <x:c r="A19" s="16"/>
      <x:c r="B19" s="7"/>
      <x:c r="C19" s="7"/>
      <x:c r="D19" s="7"/>
      <x:c r="E19" s="7"/>
      <x:c r="F19" s="7"/>
      <x:c r="G19" s="10"/>
      <x:c r="H19" s="7"/>
      <x:c r="I19" s="7"/>
      <x:c r="J19" s="16"/>
      <x:c r="K19" s="14" t="str">
        <x:f>IF(OR(J19="",COUNTIF('Rates'!$A$7:$A$106,J19)&lt;&gt;1),"",VLOOKUP(J19,'Rates'!$A$7:$M$106,4,FALSE))</x:f>
      </x:c>
      <x:c r="L19" s="14" t="str">
        <x:f>IF(OR(J19="",COUNTIF('Rates'!$A$7:$A$106,J19)&lt;&gt;1),"",VLOOKUP(J19,'Rates'!$A$7:$M$106,5,FALSE))</x:f>
      </x:c>
      <x:c r="M19" s="15" t="str">
        <x:f>IF(OR(J19="",COUNTIF('Rates'!$A$7:$A$106,J19)&lt;&gt;1),"",IF(VLOOKUP(J19,'Rates'!$A$7:$M$106,13,FALSE)&lt;&gt;"","",VLOOKUP(J19,'Rates'!$A$7:$M$106,3,FALSE)))</x:f>
      </x:c>
      <x:c r="N19" s="15" t="str">
        <x:f>IF(OR(J19="",COUNTIF('Rates'!$A$7:$A$106,J19)&lt;&gt;1),"",VLOOKUP(J19,'Rates'!$A$7:$M$106,11,FALSE))</x:f>
      </x:c>
      <x:c r="O19" s="15" t="str">
        <x:f>IF(OR(A19="",P19&lt;&gt;""),"",G19*M19)</x:f>
      </x:c>
      <x:c r="P19" s="14" t="str">
        <x:f>IF(A19="","",IF(COUNTIF($A$7:$A$106,A19)&lt;&gt;1,"Duplicate line ID",IF(AND(I19&lt;&gt;"Measured",I19&lt;&gt;"Provisional"),"Unmeasured or invalid quantity basis",IF(NOT(ISNUMBER(G19)),"Missing numeric quantity",IF(H19="","Missing quantity unit",IF(J19="","Missing rate",IF(COUNTIF('Rates'!$A$7:$A$106,J19)&lt;&gt;1,"Missing or duplicate rate ID",IF(VLOOKUP(J19,'Rates'!$A$7:$M$106,13,FALSE)&lt;&gt;"",VLOOKUP(J19,'Rates'!$A$7:$M$106,13,FALSE),IF(H19&lt;&gt;K19,"Unit mismatch",IF('Summary'!$B$8="","Missing project currency",IF(L19&lt;&gt;'Summary'!$B$8,"Currency mismatch","")))))))))))</x:f>
      </x:c>
      <x:c r="Q19" s="16"/>
      <x:c r="R19" s="7"/>
      <x:c r="S19" s="7"/>
    </x:row>
    <x:row r="20" ht="26" customHeight="1">
      <x:c r="A20" s="16"/>
      <x:c r="B20" s="7"/>
      <x:c r="C20" s="7"/>
      <x:c r="D20" s="7"/>
      <x:c r="E20" s="7"/>
      <x:c r="F20" s="7"/>
      <x:c r="G20" s="10"/>
      <x:c r="H20" s="7"/>
      <x:c r="I20" s="7"/>
      <x:c r="J20" s="16"/>
      <x:c r="K20" s="14" t="str">
        <x:f>IF(OR(J20="",COUNTIF('Rates'!$A$7:$A$106,J20)&lt;&gt;1),"",VLOOKUP(J20,'Rates'!$A$7:$M$106,4,FALSE))</x:f>
      </x:c>
      <x:c r="L20" s="14" t="str">
        <x:f>IF(OR(J20="",COUNTIF('Rates'!$A$7:$A$106,J20)&lt;&gt;1),"",VLOOKUP(J20,'Rates'!$A$7:$M$106,5,FALSE))</x:f>
      </x:c>
      <x:c r="M20" s="15" t="str">
        <x:f>IF(OR(J20="",COUNTIF('Rates'!$A$7:$A$106,J20)&lt;&gt;1),"",IF(VLOOKUP(J20,'Rates'!$A$7:$M$106,13,FALSE)&lt;&gt;"","",VLOOKUP(J20,'Rates'!$A$7:$M$106,3,FALSE)))</x:f>
      </x:c>
      <x:c r="N20" s="15" t="str">
        <x:f>IF(OR(J20="",COUNTIF('Rates'!$A$7:$A$106,J20)&lt;&gt;1),"",VLOOKUP(J20,'Rates'!$A$7:$M$106,11,FALSE))</x:f>
      </x:c>
      <x:c r="O20" s="15" t="str">
        <x:f>IF(OR(A20="",P20&lt;&gt;""),"",G20*M20)</x:f>
      </x:c>
      <x:c r="P20" s="14" t="str">
        <x:f>IF(A20="","",IF(COUNTIF($A$7:$A$106,A20)&lt;&gt;1,"Duplicate line ID",IF(AND(I20&lt;&gt;"Measured",I20&lt;&gt;"Provisional"),"Unmeasured or invalid quantity basis",IF(NOT(ISNUMBER(G20)),"Missing numeric quantity",IF(H20="","Missing quantity unit",IF(J20="","Missing rate",IF(COUNTIF('Rates'!$A$7:$A$106,J20)&lt;&gt;1,"Missing or duplicate rate ID",IF(VLOOKUP(J20,'Rates'!$A$7:$M$106,13,FALSE)&lt;&gt;"",VLOOKUP(J20,'Rates'!$A$7:$M$106,13,FALSE),IF(H20&lt;&gt;K20,"Unit mismatch",IF('Summary'!$B$8="","Missing project currency",IF(L20&lt;&gt;'Summary'!$B$8,"Currency mismatch","")))))))))))</x:f>
      </x:c>
      <x:c r="Q20" s="16"/>
      <x:c r="R20" s="7"/>
      <x:c r="S20" s="7"/>
    </x:row>
    <x:row r="21" ht="26" customHeight="1">
      <x:c r="A21" s="16"/>
      <x:c r="B21" s="7"/>
      <x:c r="C21" s="7"/>
      <x:c r="D21" s="7"/>
      <x:c r="E21" s="7"/>
      <x:c r="F21" s="7"/>
      <x:c r="G21" s="10"/>
      <x:c r="H21" s="7"/>
      <x:c r="I21" s="7"/>
      <x:c r="J21" s="16"/>
      <x:c r="K21" s="14" t="str">
        <x:f>IF(OR(J21="",COUNTIF('Rates'!$A$7:$A$106,J21)&lt;&gt;1),"",VLOOKUP(J21,'Rates'!$A$7:$M$106,4,FALSE))</x:f>
      </x:c>
      <x:c r="L21" s="14" t="str">
        <x:f>IF(OR(J21="",COUNTIF('Rates'!$A$7:$A$106,J21)&lt;&gt;1),"",VLOOKUP(J21,'Rates'!$A$7:$M$106,5,FALSE))</x:f>
      </x:c>
      <x:c r="M21" s="15" t="str">
        <x:f>IF(OR(J21="",COUNTIF('Rates'!$A$7:$A$106,J21)&lt;&gt;1),"",IF(VLOOKUP(J21,'Rates'!$A$7:$M$106,13,FALSE)&lt;&gt;"","",VLOOKUP(J21,'Rates'!$A$7:$M$106,3,FALSE)))</x:f>
      </x:c>
      <x:c r="N21" s="15" t="str">
        <x:f>IF(OR(J21="",COUNTIF('Rates'!$A$7:$A$106,J21)&lt;&gt;1),"",VLOOKUP(J21,'Rates'!$A$7:$M$106,11,FALSE))</x:f>
      </x:c>
      <x:c r="O21" s="15" t="str">
        <x:f>IF(OR(A21="",P21&lt;&gt;""),"",G21*M21)</x:f>
      </x:c>
      <x:c r="P21" s="14" t="str">
        <x:f>IF(A21="","",IF(COUNTIF($A$7:$A$106,A21)&lt;&gt;1,"Duplicate line ID",IF(AND(I21&lt;&gt;"Measured",I21&lt;&gt;"Provisional"),"Unmeasured or invalid quantity basis",IF(NOT(ISNUMBER(G21)),"Missing numeric quantity",IF(H21="","Missing quantity unit",IF(J21="","Missing rate",IF(COUNTIF('Rates'!$A$7:$A$106,J21)&lt;&gt;1,"Missing or duplicate rate ID",IF(VLOOKUP(J21,'Rates'!$A$7:$M$106,13,FALSE)&lt;&gt;"",VLOOKUP(J21,'Rates'!$A$7:$M$106,13,FALSE),IF(H21&lt;&gt;K21,"Unit mismatch",IF('Summary'!$B$8="","Missing project currency",IF(L21&lt;&gt;'Summary'!$B$8,"Currency mismatch","")))))))))))</x:f>
      </x:c>
      <x:c r="Q21" s="16"/>
      <x:c r="R21" s="7"/>
      <x:c r="S21" s="7"/>
    </x:row>
    <x:row r="22" ht="26" customHeight="1">
      <x:c r="A22" s="16"/>
      <x:c r="B22" s="7"/>
      <x:c r="C22" s="7"/>
      <x:c r="D22" s="7"/>
      <x:c r="E22" s="7"/>
      <x:c r="F22" s="7"/>
      <x:c r="G22" s="10"/>
      <x:c r="H22" s="7"/>
      <x:c r="I22" s="7"/>
      <x:c r="J22" s="16"/>
      <x:c r="K22" s="14" t="str">
        <x:f>IF(OR(J22="",COUNTIF('Rates'!$A$7:$A$106,J22)&lt;&gt;1),"",VLOOKUP(J22,'Rates'!$A$7:$M$106,4,FALSE))</x:f>
      </x:c>
      <x:c r="L22" s="14" t="str">
        <x:f>IF(OR(J22="",COUNTIF('Rates'!$A$7:$A$106,J22)&lt;&gt;1),"",VLOOKUP(J22,'Rates'!$A$7:$M$106,5,FALSE))</x:f>
      </x:c>
      <x:c r="M22" s="15" t="str">
        <x:f>IF(OR(J22="",COUNTIF('Rates'!$A$7:$A$106,J22)&lt;&gt;1),"",IF(VLOOKUP(J22,'Rates'!$A$7:$M$106,13,FALSE)&lt;&gt;"","",VLOOKUP(J22,'Rates'!$A$7:$M$106,3,FALSE)))</x:f>
      </x:c>
      <x:c r="N22" s="15" t="str">
        <x:f>IF(OR(J22="",COUNTIF('Rates'!$A$7:$A$106,J22)&lt;&gt;1),"",VLOOKUP(J22,'Rates'!$A$7:$M$106,11,FALSE))</x:f>
      </x:c>
      <x:c r="O22" s="15" t="str">
        <x:f>IF(OR(A22="",P22&lt;&gt;""),"",G22*M22)</x:f>
      </x:c>
      <x:c r="P22" s="14" t="str">
        <x:f>IF(A22="","",IF(COUNTIF($A$7:$A$106,A22)&lt;&gt;1,"Duplicate line ID",IF(AND(I22&lt;&gt;"Measured",I22&lt;&gt;"Provisional"),"Unmeasured or invalid quantity basis",IF(NOT(ISNUMBER(G22)),"Missing numeric quantity",IF(H22="","Missing quantity unit",IF(J22="","Missing rate",IF(COUNTIF('Rates'!$A$7:$A$106,J22)&lt;&gt;1,"Missing or duplicate rate ID",IF(VLOOKUP(J22,'Rates'!$A$7:$M$106,13,FALSE)&lt;&gt;"",VLOOKUP(J22,'Rates'!$A$7:$M$106,13,FALSE),IF(H22&lt;&gt;K22,"Unit mismatch",IF('Summary'!$B$8="","Missing project currency",IF(L22&lt;&gt;'Summary'!$B$8,"Currency mismatch","")))))))))))</x:f>
      </x:c>
      <x:c r="Q22" s="16"/>
      <x:c r="R22" s="7"/>
      <x:c r="S22" s="7"/>
    </x:row>
    <x:row r="23" ht="26" customHeight="1">
      <x:c r="A23" s="16"/>
      <x:c r="B23" s="7"/>
      <x:c r="C23" s="7"/>
      <x:c r="D23" s="7"/>
      <x:c r="E23" s="7"/>
      <x:c r="F23" s="7"/>
      <x:c r="G23" s="10"/>
      <x:c r="H23" s="7"/>
      <x:c r="I23" s="7"/>
      <x:c r="J23" s="16"/>
      <x:c r="K23" s="14" t="str">
        <x:f>IF(OR(J23="",COUNTIF('Rates'!$A$7:$A$106,J23)&lt;&gt;1),"",VLOOKUP(J23,'Rates'!$A$7:$M$106,4,FALSE))</x:f>
      </x:c>
      <x:c r="L23" s="14" t="str">
        <x:f>IF(OR(J23="",COUNTIF('Rates'!$A$7:$A$106,J23)&lt;&gt;1),"",VLOOKUP(J23,'Rates'!$A$7:$M$106,5,FALSE))</x:f>
      </x:c>
      <x:c r="M23" s="15" t="str">
        <x:f>IF(OR(J23="",COUNTIF('Rates'!$A$7:$A$106,J23)&lt;&gt;1),"",IF(VLOOKUP(J23,'Rates'!$A$7:$M$106,13,FALSE)&lt;&gt;"","",VLOOKUP(J23,'Rates'!$A$7:$M$106,3,FALSE)))</x:f>
      </x:c>
      <x:c r="N23" s="15" t="str">
        <x:f>IF(OR(J23="",COUNTIF('Rates'!$A$7:$A$106,J23)&lt;&gt;1),"",VLOOKUP(J23,'Rates'!$A$7:$M$106,11,FALSE))</x:f>
      </x:c>
      <x:c r="O23" s="15" t="str">
        <x:f>IF(OR(A23="",P23&lt;&gt;""),"",G23*M23)</x:f>
      </x:c>
      <x:c r="P23" s="14" t="str">
        <x:f>IF(A23="","",IF(COUNTIF($A$7:$A$106,A23)&lt;&gt;1,"Duplicate line ID",IF(AND(I23&lt;&gt;"Measured",I23&lt;&gt;"Provisional"),"Unmeasured or invalid quantity basis",IF(NOT(ISNUMBER(G23)),"Missing numeric quantity",IF(H23="","Missing quantity unit",IF(J23="","Missing rate",IF(COUNTIF('Rates'!$A$7:$A$106,J23)&lt;&gt;1,"Missing or duplicate rate ID",IF(VLOOKUP(J23,'Rates'!$A$7:$M$106,13,FALSE)&lt;&gt;"",VLOOKUP(J23,'Rates'!$A$7:$M$106,13,FALSE),IF(H23&lt;&gt;K23,"Unit mismatch",IF('Summary'!$B$8="","Missing project currency",IF(L23&lt;&gt;'Summary'!$B$8,"Currency mismatch","")))))))))))</x:f>
      </x:c>
      <x:c r="Q23" s="16"/>
      <x:c r="R23" s="7"/>
      <x:c r="S23" s="7"/>
    </x:row>
    <x:row r="24" ht="26" customHeight="1">
      <x:c r="A24" s="16"/>
      <x:c r="B24" s="7"/>
      <x:c r="C24" s="7"/>
      <x:c r="D24" s="7"/>
      <x:c r="E24" s="7"/>
      <x:c r="F24" s="7"/>
      <x:c r="G24" s="10"/>
      <x:c r="H24" s="7"/>
      <x:c r="I24" s="7"/>
      <x:c r="J24" s="16"/>
      <x:c r="K24" s="14" t="str">
        <x:f>IF(OR(J24="",COUNTIF('Rates'!$A$7:$A$106,J24)&lt;&gt;1),"",VLOOKUP(J24,'Rates'!$A$7:$M$106,4,FALSE))</x:f>
      </x:c>
      <x:c r="L24" s="14" t="str">
        <x:f>IF(OR(J24="",COUNTIF('Rates'!$A$7:$A$106,J24)&lt;&gt;1),"",VLOOKUP(J24,'Rates'!$A$7:$M$106,5,FALSE))</x:f>
      </x:c>
      <x:c r="M24" s="15" t="str">
        <x:f>IF(OR(J24="",COUNTIF('Rates'!$A$7:$A$106,J24)&lt;&gt;1),"",IF(VLOOKUP(J24,'Rates'!$A$7:$M$106,13,FALSE)&lt;&gt;"","",VLOOKUP(J24,'Rates'!$A$7:$M$106,3,FALSE)))</x:f>
      </x:c>
      <x:c r="N24" s="15" t="str">
        <x:f>IF(OR(J24="",COUNTIF('Rates'!$A$7:$A$106,J24)&lt;&gt;1),"",VLOOKUP(J24,'Rates'!$A$7:$M$106,11,FALSE))</x:f>
      </x:c>
      <x:c r="O24" s="15" t="str">
        <x:f>IF(OR(A24="",P24&lt;&gt;""),"",G24*M24)</x:f>
      </x:c>
      <x:c r="P24" s="14" t="str">
        <x:f>IF(A24="","",IF(COUNTIF($A$7:$A$106,A24)&lt;&gt;1,"Duplicate line ID",IF(AND(I24&lt;&gt;"Measured",I24&lt;&gt;"Provisional"),"Unmeasured or invalid quantity basis",IF(NOT(ISNUMBER(G24)),"Missing numeric quantity",IF(H24="","Missing quantity unit",IF(J24="","Missing rate",IF(COUNTIF('Rates'!$A$7:$A$106,J24)&lt;&gt;1,"Missing or duplicate rate ID",IF(VLOOKUP(J24,'Rates'!$A$7:$M$106,13,FALSE)&lt;&gt;"",VLOOKUP(J24,'Rates'!$A$7:$M$106,13,FALSE),IF(H24&lt;&gt;K24,"Unit mismatch",IF('Summary'!$B$8="","Missing project currency",IF(L24&lt;&gt;'Summary'!$B$8,"Currency mismatch","")))))))))))</x:f>
      </x:c>
      <x:c r="Q24" s="16"/>
      <x:c r="R24" s="7"/>
      <x:c r="S24" s="7"/>
    </x:row>
    <x:row r="25" ht="26" customHeight="1">
      <x:c r="A25" s="16"/>
      <x:c r="B25" s="7"/>
      <x:c r="C25" s="7"/>
      <x:c r="D25" s="7"/>
      <x:c r="E25" s="7"/>
      <x:c r="F25" s="7"/>
      <x:c r="G25" s="10"/>
      <x:c r="H25" s="7"/>
      <x:c r="I25" s="7"/>
      <x:c r="J25" s="16"/>
      <x:c r="K25" s="14" t="str">
        <x:f>IF(OR(J25="",COUNTIF('Rates'!$A$7:$A$106,J25)&lt;&gt;1),"",VLOOKUP(J25,'Rates'!$A$7:$M$106,4,FALSE))</x:f>
      </x:c>
      <x:c r="L25" s="14" t="str">
        <x:f>IF(OR(J25="",COUNTIF('Rates'!$A$7:$A$106,J25)&lt;&gt;1),"",VLOOKUP(J25,'Rates'!$A$7:$M$106,5,FALSE))</x:f>
      </x:c>
      <x:c r="M25" s="15" t="str">
        <x:f>IF(OR(J25="",COUNTIF('Rates'!$A$7:$A$106,J25)&lt;&gt;1),"",IF(VLOOKUP(J25,'Rates'!$A$7:$M$106,13,FALSE)&lt;&gt;"","",VLOOKUP(J25,'Rates'!$A$7:$M$106,3,FALSE)))</x:f>
      </x:c>
      <x:c r="N25" s="15" t="str">
        <x:f>IF(OR(J25="",COUNTIF('Rates'!$A$7:$A$106,J25)&lt;&gt;1),"",VLOOKUP(J25,'Rates'!$A$7:$M$106,11,FALSE))</x:f>
      </x:c>
      <x:c r="O25" s="15" t="str">
        <x:f>IF(OR(A25="",P25&lt;&gt;""),"",G25*M25)</x:f>
      </x:c>
      <x:c r="P25" s="14" t="str">
        <x:f>IF(A25="","",IF(COUNTIF($A$7:$A$106,A25)&lt;&gt;1,"Duplicate line ID",IF(AND(I25&lt;&gt;"Measured",I25&lt;&gt;"Provisional"),"Unmeasured or invalid quantity basis",IF(NOT(ISNUMBER(G25)),"Missing numeric quantity",IF(H25="","Missing quantity unit",IF(J25="","Missing rate",IF(COUNTIF('Rates'!$A$7:$A$106,J25)&lt;&gt;1,"Missing or duplicate rate ID",IF(VLOOKUP(J25,'Rates'!$A$7:$M$106,13,FALSE)&lt;&gt;"",VLOOKUP(J25,'Rates'!$A$7:$M$106,13,FALSE),IF(H25&lt;&gt;K25,"Unit mismatch",IF('Summary'!$B$8="","Missing project currency",IF(L25&lt;&gt;'Summary'!$B$8,"Currency mismatch","")))))))))))</x:f>
      </x:c>
      <x:c r="Q25" s="16"/>
      <x:c r="R25" s="7"/>
      <x:c r="S25" s="7"/>
    </x:row>
    <x:row r="26" ht="26" customHeight="1">
      <x:c r="A26" s="16"/>
      <x:c r="B26" s="7"/>
      <x:c r="C26" s="7"/>
      <x:c r="D26" s="7"/>
      <x:c r="E26" s="7"/>
      <x:c r="F26" s="7"/>
      <x:c r="G26" s="10"/>
      <x:c r="H26" s="7"/>
      <x:c r="I26" s="7"/>
      <x:c r="J26" s="16"/>
      <x:c r="K26" s="14" t="str">
        <x:f>IF(OR(J26="",COUNTIF('Rates'!$A$7:$A$106,J26)&lt;&gt;1),"",VLOOKUP(J26,'Rates'!$A$7:$M$106,4,FALSE))</x:f>
      </x:c>
      <x:c r="L26" s="14" t="str">
        <x:f>IF(OR(J26="",COUNTIF('Rates'!$A$7:$A$106,J26)&lt;&gt;1),"",VLOOKUP(J26,'Rates'!$A$7:$M$106,5,FALSE))</x:f>
      </x:c>
      <x:c r="M26" s="15" t="str">
        <x:f>IF(OR(J26="",COUNTIF('Rates'!$A$7:$A$106,J26)&lt;&gt;1),"",IF(VLOOKUP(J26,'Rates'!$A$7:$M$106,13,FALSE)&lt;&gt;"","",VLOOKUP(J26,'Rates'!$A$7:$M$106,3,FALSE)))</x:f>
      </x:c>
      <x:c r="N26" s="15" t="str">
        <x:f>IF(OR(J26="",COUNTIF('Rates'!$A$7:$A$106,J26)&lt;&gt;1),"",VLOOKUP(J26,'Rates'!$A$7:$M$106,11,FALSE))</x:f>
      </x:c>
      <x:c r="O26" s="15" t="str">
        <x:f>IF(OR(A26="",P26&lt;&gt;""),"",G26*M26)</x:f>
      </x:c>
      <x:c r="P26" s="14" t="str">
        <x:f>IF(A26="","",IF(COUNTIF($A$7:$A$106,A26)&lt;&gt;1,"Duplicate line ID",IF(AND(I26&lt;&gt;"Measured",I26&lt;&gt;"Provisional"),"Unmeasured or invalid quantity basis",IF(NOT(ISNUMBER(G26)),"Missing numeric quantity",IF(H26="","Missing quantity unit",IF(J26="","Missing rate",IF(COUNTIF('Rates'!$A$7:$A$106,J26)&lt;&gt;1,"Missing or duplicate rate ID",IF(VLOOKUP(J26,'Rates'!$A$7:$M$106,13,FALSE)&lt;&gt;"",VLOOKUP(J26,'Rates'!$A$7:$M$106,13,FALSE),IF(H26&lt;&gt;K26,"Unit mismatch",IF('Summary'!$B$8="","Missing project currency",IF(L26&lt;&gt;'Summary'!$B$8,"Currency mismatch","")))))))))))</x:f>
      </x:c>
      <x:c r="Q26" s="16"/>
      <x:c r="R26" s="7"/>
      <x:c r="S26" s="7"/>
    </x:row>
    <x:row r="27" ht="26" customHeight="1">
      <x:c r="A27" s="16"/>
      <x:c r="B27" s="7"/>
      <x:c r="C27" s="7"/>
      <x:c r="D27" s="7"/>
      <x:c r="E27" s="7"/>
      <x:c r="F27" s="7"/>
      <x:c r="G27" s="10"/>
      <x:c r="H27" s="7"/>
      <x:c r="I27" s="7"/>
      <x:c r="J27" s="16"/>
      <x:c r="K27" s="14" t="str">
        <x:f>IF(OR(J27="",COUNTIF('Rates'!$A$7:$A$106,J27)&lt;&gt;1),"",VLOOKUP(J27,'Rates'!$A$7:$M$106,4,FALSE))</x:f>
      </x:c>
      <x:c r="L27" s="14" t="str">
        <x:f>IF(OR(J27="",COUNTIF('Rates'!$A$7:$A$106,J27)&lt;&gt;1),"",VLOOKUP(J27,'Rates'!$A$7:$M$106,5,FALSE))</x:f>
      </x:c>
      <x:c r="M27" s="15" t="str">
        <x:f>IF(OR(J27="",COUNTIF('Rates'!$A$7:$A$106,J27)&lt;&gt;1),"",IF(VLOOKUP(J27,'Rates'!$A$7:$M$106,13,FALSE)&lt;&gt;"","",VLOOKUP(J27,'Rates'!$A$7:$M$106,3,FALSE)))</x:f>
      </x:c>
      <x:c r="N27" s="15" t="str">
        <x:f>IF(OR(J27="",COUNTIF('Rates'!$A$7:$A$106,J27)&lt;&gt;1),"",VLOOKUP(J27,'Rates'!$A$7:$M$106,11,FALSE))</x:f>
      </x:c>
      <x:c r="O27" s="15" t="str">
        <x:f>IF(OR(A27="",P27&lt;&gt;""),"",G27*M27)</x:f>
      </x:c>
      <x:c r="P27" s="14" t="str">
        <x:f>IF(A27="","",IF(COUNTIF($A$7:$A$106,A27)&lt;&gt;1,"Duplicate line ID",IF(AND(I27&lt;&gt;"Measured",I27&lt;&gt;"Provisional"),"Unmeasured or invalid quantity basis",IF(NOT(ISNUMBER(G27)),"Missing numeric quantity",IF(H27="","Missing quantity unit",IF(J27="","Missing rate",IF(COUNTIF('Rates'!$A$7:$A$106,J27)&lt;&gt;1,"Missing or duplicate rate ID",IF(VLOOKUP(J27,'Rates'!$A$7:$M$106,13,FALSE)&lt;&gt;"",VLOOKUP(J27,'Rates'!$A$7:$M$106,13,FALSE),IF(H27&lt;&gt;K27,"Unit mismatch",IF('Summary'!$B$8="","Missing project currency",IF(L27&lt;&gt;'Summary'!$B$8,"Currency mismatch","")))))))))))</x:f>
      </x:c>
      <x:c r="Q27" s="16"/>
      <x:c r="R27" s="7"/>
      <x:c r="S27" s="7"/>
    </x:row>
    <x:row r="28" ht="26" customHeight="1">
      <x:c r="A28" s="16"/>
      <x:c r="B28" s="7"/>
      <x:c r="C28" s="7"/>
      <x:c r="D28" s="7"/>
      <x:c r="E28" s="7"/>
      <x:c r="F28" s="7"/>
      <x:c r="G28" s="10"/>
      <x:c r="H28" s="7"/>
      <x:c r="I28" s="7"/>
      <x:c r="J28" s="16"/>
      <x:c r="K28" s="14" t="str">
        <x:f>IF(OR(J28="",COUNTIF('Rates'!$A$7:$A$106,J28)&lt;&gt;1),"",VLOOKUP(J28,'Rates'!$A$7:$M$106,4,FALSE))</x:f>
      </x:c>
      <x:c r="L28" s="14" t="str">
        <x:f>IF(OR(J28="",COUNTIF('Rates'!$A$7:$A$106,J28)&lt;&gt;1),"",VLOOKUP(J28,'Rates'!$A$7:$M$106,5,FALSE))</x:f>
      </x:c>
      <x:c r="M28" s="15" t="str">
        <x:f>IF(OR(J28="",COUNTIF('Rates'!$A$7:$A$106,J28)&lt;&gt;1),"",IF(VLOOKUP(J28,'Rates'!$A$7:$M$106,13,FALSE)&lt;&gt;"","",VLOOKUP(J28,'Rates'!$A$7:$M$106,3,FALSE)))</x:f>
      </x:c>
      <x:c r="N28" s="15" t="str">
        <x:f>IF(OR(J28="",COUNTIF('Rates'!$A$7:$A$106,J28)&lt;&gt;1),"",VLOOKUP(J28,'Rates'!$A$7:$M$106,11,FALSE))</x:f>
      </x:c>
      <x:c r="O28" s="15" t="str">
        <x:f>IF(OR(A28="",P28&lt;&gt;""),"",G28*M28)</x:f>
      </x:c>
      <x:c r="P28" s="14" t="str">
        <x:f>IF(A28="","",IF(COUNTIF($A$7:$A$106,A28)&lt;&gt;1,"Duplicate line ID",IF(AND(I28&lt;&gt;"Measured",I28&lt;&gt;"Provisional"),"Unmeasured or invalid quantity basis",IF(NOT(ISNUMBER(G28)),"Missing numeric quantity",IF(H28="","Missing quantity unit",IF(J28="","Missing rate",IF(COUNTIF('Rates'!$A$7:$A$106,J28)&lt;&gt;1,"Missing or duplicate rate ID",IF(VLOOKUP(J28,'Rates'!$A$7:$M$106,13,FALSE)&lt;&gt;"",VLOOKUP(J28,'Rates'!$A$7:$M$106,13,FALSE),IF(H28&lt;&gt;K28,"Unit mismatch",IF('Summary'!$B$8="","Missing project currency",IF(L28&lt;&gt;'Summary'!$B$8,"Currency mismatch","")))))))))))</x:f>
      </x:c>
      <x:c r="Q28" s="16"/>
      <x:c r="R28" s="7"/>
      <x:c r="S28" s="7"/>
    </x:row>
    <x:row r="29" ht="26" customHeight="1">
      <x:c r="A29" s="16"/>
      <x:c r="B29" s="7"/>
      <x:c r="C29" s="7"/>
      <x:c r="D29" s="7"/>
      <x:c r="E29" s="7"/>
      <x:c r="F29" s="7"/>
      <x:c r="G29" s="10"/>
      <x:c r="H29" s="7"/>
      <x:c r="I29" s="7"/>
      <x:c r="J29" s="16"/>
      <x:c r="K29" s="14" t="str">
        <x:f>IF(OR(J29="",COUNTIF('Rates'!$A$7:$A$106,J29)&lt;&gt;1),"",VLOOKUP(J29,'Rates'!$A$7:$M$106,4,FALSE))</x:f>
      </x:c>
      <x:c r="L29" s="14" t="str">
        <x:f>IF(OR(J29="",COUNTIF('Rates'!$A$7:$A$106,J29)&lt;&gt;1),"",VLOOKUP(J29,'Rates'!$A$7:$M$106,5,FALSE))</x:f>
      </x:c>
      <x:c r="M29" s="15" t="str">
        <x:f>IF(OR(J29="",COUNTIF('Rates'!$A$7:$A$106,J29)&lt;&gt;1),"",IF(VLOOKUP(J29,'Rates'!$A$7:$M$106,13,FALSE)&lt;&gt;"","",VLOOKUP(J29,'Rates'!$A$7:$M$106,3,FALSE)))</x:f>
      </x:c>
      <x:c r="N29" s="15" t="str">
        <x:f>IF(OR(J29="",COUNTIF('Rates'!$A$7:$A$106,J29)&lt;&gt;1),"",VLOOKUP(J29,'Rates'!$A$7:$M$106,11,FALSE))</x:f>
      </x:c>
      <x:c r="O29" s="15" t="str">
        <x:f>IF(OR(A29="",P29&lt;&gt;""),"",G29*M29)</x:f>
      </x:c>
      <x:c r="P29" s="14" t="str">
        <x:f>IF(A29="","",IF(COUNTIF($A$7:$A$106,A29)&lt;&gt;1,"Duplicate line ID",IF(AND(I29&lt;&gt;"Measured",I29&lt;&gt;"Provisional"),"Unmeasured or invalid quantity basis",IF(NOT(ISNUMBER(G29)),"Missing numeric quantity",IF(H29="","Missing quantity unit",IF(J29="","Missing rate",IF(COUNTIF('Rates'!$A$7:$A$106,J29)&lt;&gt;1,"Missing or duplicate rate ID",IF(VLOOKUP(J29,'Rates'!$A$7:$M$106,13,FALSE)&lt;&gt;"",VLOOKUP(J29,'Rates'!$A$7:$M$106,13,FALSE),IF(H29&lt;&gt;K29,"Unit mismatch",IF('Summary'!$B$8="","Missing project currency",IF(L29&lt;&gt;'Summary'!$B$8,"Currency mismatch","")))))))))))</x:f>
      </x:c>
      <x:c r="Q29" s="16"/>
      <x:c r="R29" s="7"/>
      <x:c r="S29" s="7"/>
    </x:row>
    <x:row r="30" ht="26" customHeight="1">
      <x:c r="A30" s="16"/>
      <x:c r="B30" s="7"/>
      <x:c r="C30" s="7"/>
      <x:c r="D30" s="7"/>
      <x:c r="E30" s="7"/>
      <x:c r="F30" s="7"/>
      <x:c r="G30" s="10"/>
      <x:c r="H30" s="7"/>
      <x:c r="I30" s="7"/>
      <x:c r="J30" s="16"/>
      <x:c r="K30" s="14" t="str">
        <x:f>IF(OR(J30="",COUNTIF('Rates'!$A$7:$A$106,J30)&lt;&gt;1),"",VLOOKUP(J30,'Rates'!$A$7:$M$106,4,FALSE))</x:f>
      </x:c>
      <x:c r="L30" s="14" t="str">
        <x:f>IF(OR(J30="",COUNTIF('Rates'!$A$7:$A$106,J30)&lt;&gt;1),"",VLOOKUP(J30,'Rates'!$A$7:$M$106,5,FALSE))</x:f>
      </x:c>
      <x:c r="M30" s="15" t="str">
        <x:f>IF(OR(J30="",COUNTIF('Rates'!$A$7:$A$106,J30)&lt;&gt;1),"",IF(VLOOKUP(J30,'Rates'!$A$7:$M$106,13,FALSE)&lt;&gt;"","",VLOOKUP(J30,'Rates'!$A$7:$M$106,3,FALSE)))</x:f>
      </x:c>
      <x:c r="N30" s="15" t="str">
        <x:f>IF(OR(J30="",COUNTIF('Rates'!$A$7:$A$106,J30)&lt;&gt;1),"",VLOOKUP(J30,'Rates'!$A$7:$M$106,11,FALSE))</x:f>
      </x:c>
      <x:c r="O30" s="15" t="str">
        <x:f>IF(OR(A30="",P30&lt;&gt;""),"",G30*M30)</x:f>
      </x:c>
      <x:c r="P30" s="14" t="str">
        <x:f>IF(A30="","",IF(COUNTIF($A$7:$A$106,A30)&lt;&gt;1,"Duplicate line ID",IF(AND(I30&lt;&gt;"Measured",I30&lt;&gt;"Provisional"),"Unmeasured or invalid quantity basis",IF(NOT(ISNUMBER(G30)),"Missing numeric quantity",IF(H30="","Missing quantity unit",IF(J30="","Missing rate",IF(COUNTIF('Rates'!$A$7:$A$106,J30)&lt;&gt;1,"Missing or duplicate rate ID",IF(VLOOKUP(J30,'Rates'!$A$7:$M$106,13,FALSE)&lt;&gt;"",VLOOKUP(J30,'Rates'!$A$7:$M$106,13,FALSE),IF(H30&lt;&gt;K30,"Unit mismatch",IF('Summary'!$B$8="","Missing project currency",IF(L30&lt;&gt;'Summary'!$B$8,"Currency mismatch","")))))))))))</x:f>
      </x:c>
      <x:c r="Q30" s="16"/>
      <x:c r="R30" s="7"/>
      <x:c r="S30" s="7"/>
    </x:row>
    <x:row r="31" ht="26" customHeight="1">
      <x:c r="A31" s="16"/>
      <x:c r="B31" s="7"/>
      <x:c r="C31" s="7"/>
      <x:c r="D31" s="7"/>
      <x:c r="E31" s="7"/>
      <x:c r="F31" s="7"/>
      <x:c r="G31" s="10"/>
      <x:c r="H31" s="7"/>
      <x:c r="I31" s="7"/>
      <x:c r="J31" s="16"/>
      <x:c r="K31" s="14" t="str">
        <x:f>IF(OR(J31="",COUNTIF('Rates'!$A$7:$A$106,J31)&lt;&gt;1),"",VLOOKUP(J31,'Rates'!$A$7:$M$106,4,FALSE))</x:f>
      </x:c>
      <x:c r="L31" s="14" t="str">
        <x:f>IF(OR(J31="",COUNTIF('Rates'!$A$7:$A$106,J31)&lt;&gt;1),"",VLOOKUP(J31,'Rates'!$A$7:$M$106,5,FALSE))</x:f>
      </x:c>
      <x:c r="M31" s="15" t="str">
        <x:f>IF(OR(J31="",COUNTIF('Rates'!$A$7:$A$106,J31)&lt;&gt;1),"",IF(VLOOKUP(J31,'Rates'!$A$7:$M$106,13,FALSE)&lt;&gt;"","",VLOOKUP(J31,'Rates'!$A$7:$M$106,3,FALSE)))</x:f>
      </x:c>
      <x:c r="N31" s="15" t="str">
        <x:f>IF(OR(J31="",COUNTIF('Rates'!$A$7:$A$106,J31)&lt;&gt;1),"",VLOOKUP(J31,'Rates'!$A$7:$M$106,11,FALSE))</x:f>
      </x:c>
      <x:c r="O31" s="15" t="str">
        <x:f>IF(OR(A31="",P31&lt;&gt;""),"",G31*M31)</x:f>
      </x:c>
      <x:c r="P31" s="14" t="str">
        <x:f>IF(A31="","",IF(COUNTIF($A$7:$A$106,A31)&lt;&gt;1,"Duplicate line ID",IF(AND(I31&lt;&gt;"Measured",I31&lt;&gt;"Provisional"),"Unmeasured or invalid quantity basis",IF(NOT(ISNUMBER(G31)),"Missing numeric quantity",IF(H31="","Missing quantity unit",IF(J31="","Missing rate",IF(COUNTIF('Rates'!$A$7:$A$106,J31)&lt;&gt;1,"Missing or duplicate rate ID",IF(VLOOKUP(J31,'Rates'!$A$7:$M$106,13,FALSE)&lt;&gt;"",VLOOKUP(J31,'Rates'!$A$7:$M$106,13,FALSE),IF(H31&lt;&gt;K31,"Unit mismatch",IF('Summary'!$B$8="","Missing project currency",IF(L31&lt;&gt;'Summary'!$B$8,"Currency mismatch","")))))))))))</x:f>
      </x:c>
      <x:c r="Q31" s="16"/>
      <x:c r="R31" s="7"/>
      <x:c r="S31" s="7"/>
    </x:row>
    <x:row r="32" ht="26" customHeight="1">
      <x:c r="A32" s="16"/>
      <x:c r="B32" s="7"/>
      <x:c r="C32" s="7"/>
      <x:c r="D32" s="7"/>
      <x:c r="E32" s="7"/>
      <x:c r="F32" s="7"/>
      <x:c r="G32" s="10"/>
      <x:c r="H32" s="7"/>
      <x:c r="I32" s="7"/>
      <x:c r="J32" s="16"/>
      <x:c r="K32" s="14" t="str">
        <x:f>IF(OR(J32="",COUNTIF('Rates'!$A$7:$A$106,J32)&lt;&gt;1),"",VLOOKUP(J32,'Rates'!$A$7:$M$106,4,FALSE))</x:f>
      </x:c>
      <x:c r="L32" s="14" t="str">
        <x:f>IF(OR(J32="",COUNTIF('Rates'!$A$7:$A$106,J32)&lt;&gt;1),"",VLOOKUP(J32,'Rates'!$A$7:$M$106,5,FALSE))</x:f>
      </x:c>
      <x:c r="M32" s="15" t="str">
        <x:f>IF(OR(J32="",COUNTIF('Rates'!$A$7:$A$106,J32)&lt;&gt;1),"",IF(VLOOKUP(J32,'Rates'!$A$7:$M$106,13,FALSE)&lt;&gt;"","",VLOOKUP(J32,'Rates'!$A$7:$M$106,3,FALSE)))</x:f>
      </x:c>
      <x:c r="N32" s="15" t="str">
        <x:f>IF(OR(J32="",COUNTIF('Rates'!$A$7:$A$106,J32)&lt;&gt;1),"",VLOOKUP(J32,'Rates'!$A$7:$M$106,11,FALSE))</x:f>
      </x:c>
      <x:c r="O32" s="15" t="str">
        <x:f>IF(OR(A32="",P32&lt;&gt;""),"",G32*M32)</x:f>
      </x:c>
      <x:c r="P32" s="14" t="str">
        <x:f>IF(A32="","",IF(COUNTIF($A$7:$A$106,A32)&lt;&gt;1,"Duplicate line ID",IF(AND(I32&lt;&gt;"Measured",I32&lt;&gt;"Provisional"),"Unmeasured or invalid quantity basis",IF(NOT(ISNUMBER(G32)),"Missing numeric quantity",IF(H32="","Missing quantity unit",IF(J32="","Missing rate",IF(COUNTIF('Rates'!$A$7:$A$106,J32)&lt;&gt;1,"Missing or duplicate rate ID",IF(VLOOKUP(J32,'Rates'!$A$7:$M$106,13,FALSE)&lt;&gt;"",VLOOKUP(J32,'Rates'!$A$7:$M$106,13,FALSE),IF(H32&lt;&gt;K32,"Unit mismatch",IF('Summary'!$B$8="","Missing project currency",IF(L32&lt;&gt;'Summary'!$B$8,"Currency mismatch","")))))))))))</x:f>
      </x:c>
      <x:c r="Q32" s="16"/>
      <x:c r="R32" s="7"/>
      <x:c r="S32" s="7"/>
    </x:row>
    <x:row r="33" ht="26" customHeight="1">
      <x:c r="A33" s="16"/>
      <x:c r="B33" s="7"/>
      <x:c r="C33" s="7"/>
      <x:c r="D33" s="7"/>
      <x:c r="E33" s="7"/>
      <x:c r="F33" s="7"/>
      <x:c r="G33" s="10"/>
      <x:c r="H33" s="7"/>
      <x:c r="I33" s="7"/>
      <x:c r="J33" s="16"/>
      <x:c r="K33" s="14" t="str">
        <x:f>IF(OR(J33="",COUNTIF('Rates'!$A$7:$A$106,J33)&lt;&gt;1),"",VLOOKUP(J33,'Rates'!$A$7:$M$106,4,FALSE))</x:f>
      </x:c>
      <x:c r="L33" s="14" t="str">
        <x:f>IF(OR(J33="",COUNTIF('Rates'!$A$7:$A$106,J33)&lt;&gt;1),"",VLOOKUP(J33,'Rates'!$A$7:$M$106,5,FALSE))</x:f>
      </x:c>
      <x:c r="M33" s="15" t="str">
        <x:f>IF(OR(J33="",COUNTIF('Rates'!$A$7:$A$106,J33)&lt;&gt;1),"",IF(VLOOKUP(J33,'Rates'!$A$7:$M$106,13,FALSE)&lt;&gt;"","",VLOOKUP(J33,'Rates'!$A$7:$M$106,3,FALSE)))</x:f>
      </x:c>
      <x:c r="N33" s="15" t="str">
        <x:f>IF(OR(J33="",COUNTIF('Rates'!$A$7:$A$106,J33)&lt;&gt;1),"",VLOOKUP(J33,'Rates'!$A$7:$M$106,11,FALSE))</x:f>
      </x:c>
      <x:c r="O33" s="15" t="str">
        <x:f>IF(OR(A33="",P33&lt;&gt;""),"",G33*M33)</x:f>
      </x:c>
      <x:c r="P33" s="14" t="str">
        <x:f>IF(A33="","",IF(COUNTIF($A$7:$A$106,A33)&lt;&gt;1,"Duplicate line ID",IF(AND(I33&lt;&gt;"Measured",I33&lt;&gt;"Provisional"),"Unmeasured or invalid quantity basis",IF(NOT(ISNUMBER(G33)),"Missing numeric quantity",IF(H33="","Missing quantity unit",IF(J33="","Missing rate",IF(COUNTIF('Rates'!$A$7:$A$106,J33)&lt;&gt;1,"Missing or duplicate rate ID",IF(VLOOKUP(J33,'Rates'!$A$7:$M$106,13,FALSE)&lt;&gt;"",VLOOKUP(J33,'Rates'!$A$7:$M$106,13,FALSE),IF(H33&lt;&gt;K33,"Unit mismatch",IF('Summary'!$B$8="","Missing project currency",IF(L33&lt;&gt;'Summary'!$B$8,"Currency mismatch","")))))))))))</x:f>
      </x:c>
      <x:c r="Q33" s="16"/>
      <x:c r="R33" s="7"/>
      <x:c r="S33" s="7"/>
    </x:row>
    <x:row r="34" ht="26" customHeight="1">
      <x:c r="A34" s="16"/>
      <x:c r="B34" s="7"/>
      <x:c r="C34" s="7"/>
      <x:c r="D34" s="7"/>
      <x:c r="E34" s="7"/>
      <x:c r="F34" s="7"/>
      <x:c r="G34" s="10"/>
      <x:c r="H34" s="7"/>
      <x:c r="I34" s="7"/>
      <x:c r="J34" s="16"/>
      <x:c r="K34" s="14" t="str">
        <x:f>IF(OR(J34="",COUNTIF('Rates'!$A$7:$A$106,J34)&lt;&gt;1),"",VLOOKUP(J34,'Rates'!$A$7:$M$106,4,FALSE))</x:f>
      </x:c>
      <x:c r="L34" s="14" t="str">
        <x:f>IF(OR(J34="",COUNTIF('Rates'!$A$7:$A$106,J34)&lt;&gt;1),"",VLOOKUP(J34,'Rates'!$A$7:$M$106,5,FALSE))</x:f>
      </x:c>
      <x:c r="M34" s="15" t="str">
        <x:f>IF(OR(J34="",COUNTIF('Rates'!$A$7:$A$106,J34)&lt;&gt;1),"",IF(VLOOKUP(J34,'Rates'!$A$7:$M$106,13,FALSE)&lt;&gt;"","",VLOOKUP(J34,'Rates'!$A$7:$M$106,3,FALSE)))</x:f>
      </x:c>
      <x:c r="N34" s="15" t="str">
        <x:f>IF(OR(J34="",COUNTIF('Rates'!$A$7:$A$106,J34)&lt;&gt;1),"",VLOOKUP(J34,'Rates'!$A$7:$M$106,11,FALSE))</x:f>
      </x:c>
      <x:c r="O34" s="15" t="str">
        <x:f>IF(OR(A34="",P34&lt;&gt;""),"",G34*M34)</x:f>
      </x:c>
      <x:c r="P34" s="14" t="str">
        <x:f>IF(A34="","",IF(COUNTIF($A$7:$A$106,A34)&lt;&gt;1,"Duplicate line ID",IF(AND(I34&lt;&gt;"Measured",I34&lt;&gt;"Provisional"),"Unmeasured or invalid quantity basis",IF(NOT(ISNUMBER(G34)),"Missing numeric quantity",IF(H34="","Missing quantity unit",IF(J34="","Missing rate",IF(COUNTIF('Rates'!$A$7:$A$106,J34)&lt;&gt;1,"Missing or duplicate rate ID",IF(VLOOKUP(J34,'Rates'!$A$7:$M$106,13,FALSE)&lt;&gt;"",VLOOKUP(J34,'Rates'!$A$7:$M$106,13,FALSE),IF(H34&lt;&gt;K34,"Unit mismatch",IF('Summary'!$B$8="","Missing project currency",IF(L34&lt;&gt;'Summary'!$B$8,"Currency mismatch","")))))))))))</x:f>
      </x:c>
      <x:c r="Q34" s="16"/>
      <x:c r="R34" s="7"/>
      <x:c r="S34" s="7"/>
    </x:row>
    <x:row r="35" ht="26" customHeight="1">
      <x:c r="A35" s="16"/>
      <x:c r="B35" s="7"/>
      <x:c r="C35" s="7"/>
      <x:c r="D35" s="7"/>
      <x:c r="E35" s="7"/>
      <x:c r="F35" s="7"/>
      <x:c r="G35" s="10"/>
      <x:c r="H35" s="7"/>
      <x:c r="I35" s="7"/>
      <x:c r="J35" s="16"/>
      <x:c r="K35" s="14" t="str">
        <x:f>IF(OR(J35="",COUNTIF('Rates'!$A$7:$A$106,J35)&lt;&gt;1),"",VLOOKUP(J35,'Rates'!$A$7:$M$106,4,FALSE))</x:f>
      </x:c>
      <x:c r="L35" s="14" t="str">
        <x:f>IF(OR(J35="",COUNTIF('Rates'!$A$7:$A$106,J35)&lt;&gt;1),"",VLOOKUP(J35,'Rates'!$A$7:$M$106,5,FALSE))</x:f>
      </x:c>
      <x:c r="M35" s="15" t="str">
        <x:f>IF(OR(J35="",COUNTIF('Rates'!$A$7:$A$106,J35)&lt;&gt;1),"",IF(VLOOKUP(J35,'Rates'!$A$7:$M$106,13,FALSE)&lt;&gt;"","",VLOOKUP(J35,'Rates'!$A$7:$M$106,3,FALSE)))</x:f>
      </x:c>
      <x:c r="N35" s="15" t="str">
        <x:f>IF(OR(J35="",COUNTIF('Rates'!$A$7:$A$106,J35)&lt;&gt;1),"",VLOOKUP(J35,'Rates'!$A$7:$M$106,11,FALSE))</x:f>
      </x:c>
      <x:c r="O35" s="15" t="str">
        <x:f>IF(OR(A35="",P35&lt;&gt;""),"",G35*M35)</x:f>
      </x:c>
      <x:c r="P35" s="14" t="str">
        <x:f>IF(A35="","",IF(COUNTIF($A$7:$A$106,A35)&lt;&gt;1,"Duplicate line ID",IF(AND(I35&lt;&gt;"Measured",I35&lt;&gt;"Provisional"),"Unmeasured or invalid quantity basis",IF(NOT(ISNUMBER(G35)),"Missing numeric quantity",IF(H35="","Missing quantity unit",IF(J35="","Missing rate",IF(COUNTIF('Rates'!$A$7:$A$106,J35)&lt;&gt;1,"Missing or duplicate rate ID",IF(VLOOKUP(J35,'Rates'!$A$7:$M$106,13,FALSE)&lt;&gt;"",VLOOKUP(J35,'Rates'!$A$7:$M$106,13,FALSE),IF(H35&lt;&gt;K35,"Unit mismatch",IF('Summary'!$B$8="","Missing project currency",IF(L35&lt;&gt;'Summary'!$B$8,"Currency mismatch","")))))))))))</x:f>
      </x:c>
      <x:c r="Q35" s="16"/>
      <x:c r="R35" s="7"/>
      <x:c r="S35" s="7"/>
    </x:row>
    <x:row r="36" ht="26" customHeight="1">
      <x:c r="A36" s="16"/>
      <x:c r="B36" s="7"/>
      <x:c r="C36" s="7"/>
      <x:c r="D36" s="7"/>
      <x:c r="E36" s="7"/>
      <x:c r="F36" s="7"/>
      <x:c r="G36" s="10"/>
      <x:c r="H36" s="7"/>
      <x:c r="I36" s="7"/>
      <x:c r="J36" s="16"/>
      <x:c r="K36" s="14" t="str">
        <x:f>IF(OR(J36="",COUNTIF('Rates'!$A$7:$A$106,J36)&lt;&gt;1),"",VLOOKUP(J36,'Rates'!$A$7:$M$106,4,FALSE))</x:f>
      </x:c>
      <x:c r="L36" s="14" t="str">
        <x:f>IF(OR(J36="",COUNTIF('Rates'!$A$7:$A$106,J36)&lt;&gt;1),"",VLOOKUP(J36,'Rates'!$A$7:$M$106,5,FALSE))</x:f>
      </x:c>
      <x:c r="M36" s="15" t="str">
        <x:f>IF(OR(J36="",COUNTIF('Rates'!$A$7:$A$106,J36)&lt;&gt;1),"",IF(VLOOKUP(J36,'Rates'!$A$7:$M$106,13,FALSE)&lt;&gt;"","",VLOOKUP(J36,'Rates'!$A$7:$M$106,3,FALSE)))</x:f>
      </x:c>
      <x:c r="N36" s="15" t="str">
        <x:f>IF(OR(J36="",COUNTIF('Rates'!$A$7:$A$106,J36)&lt;&gt;1),"",VLOOKUP(J36,'Rates'!$A$7:$M$106,11,FALSE))</x:f>
      </x:c>
      <x:c r="O36" s="15" t="str">
        <x:f>IF(OR(A36="",P36&lt;&gt;""),"",G36*M36)</x:f>
      </x:c>
      <x:c r="P36" s="14" t="str">
        <x:f>IF(A36="","",IF(COUNTIF($A$7:$A$106,A36)&lt;&gt;1,"Duplicate line ID",IF(AND(I36&lt;&gt;"Measured",I36&lt;&gt;"Provisional"),"Unmeasured or invalid quantity basis",IF(NOT(ISNUMBER(G36)),"Missing numeric quantity",IF(H36="","Missing quantity unit",IF(J36="","Missing rate",IF(COUNTIF('Rates'!$A$7:$A$106,J36)&lt;&gt;1,"Missing or duplicate rate ID",IF(VLOOKUP(J36,'Rates'!$A$7:$M$106,13,FALSE)&lt;&gt;"",VLOOKUP(J36,'Rates'!$A$7:$M$106,13,FALSE),IF(H36&lt;&gt;K36,"Unit mismatch",IF('Summary'!$B$8="","Missing project currency",IF(L36&lt;&gt;'Summary'!$B$8,"Currency mismatch","")))))))))))</x:f>
      </x:c>
      <x:c r="Q36" s="16"/>
      <x:c r="R36" s="7"/>
      <x:c r="S36" s="7"/>
    </x:row>
    <x:row r="37" ht="26" customHeight="1">
      <x:c r="A37" s="16"/>
      <x:c r="B37" s="7"/>
      <x:c r="C37" s="7"/>
      <x:c r="D37" s="7"/>
      <x:c r="E37" s="7"/>
      <x:c r="F37" s="7"/>
      <x:c r="G37" s="10"/>
      <x:c r="H37" s="7"/>
      <x:c r="I37" s="7"/>
      <x:c r="J37" s="16"/>
      <x:c r="K37" s="14" t="str">
        <x:f>IF(OR(J37="",COUNTIF('Rates'!$A$7:$A$106,J37)&lt;&gt;1),"",VLOOKUP(J37,'Rates'!$A$7:$M$106,4,FALSE))</x:f>
      </x:c>
      <x:c r="L37" s="14" t="str">
        <x:f>IF(OR(J37="",COUNTIF('Rates'!$A$7:$A$106,J37)&lt;&gt;1),"",VLOOKUP(J37,'Rates'!$A$7:$M$106,5,FALSE))</x:f>
      </x:c>
      <x:c r="M37" s="15" t="str">
        <x:f>IF(OR(J37="",COUNTIF('Rates'!$A$7:$A$106,J37)&lt;&gt;1),"",IF(VLOOKUP(J37,'Rates'!$A$7:$M$106,13,FALSE)&lt;&gt;"","",VLOOKUP(J37,'Rates'!$A$7:$M$106,3,FALSE)))</x:f>
      </x:c>
      <x:c r="N37" s="15" t="str">
        <x:f>IF(OR(J37="",COUNTIF('Rates'!$A$7:$A$106,J37)&lt;&gt;1),"",VLOOKUP(J37,'Rates'!$A$7:$M$106,11,FALSE))</x:f>
      </x:c>
      <x:c r="O37" s="15" t="str">
        <x:f>IF(OR(A37="",P37&lt;&gt;""),"",G37*M37)</x:f>
      </x:c>
      <x:c r="P37" s="14" t="str">
        <x:f>IF(A37="","",IF(COUNTIF($A$7:$A$106,A37)&lt;&gt;1,"Duplicate line ID",IF(AND(I37&lt;&gt;"Measured",I37&lt;&gt;"Provisional"),"Unmeasured or invalid quantity basis",IF(NOT(ISNUMBER(G37)),"Missing numeric quantity",IF(H37="","Missing quantity unit",IF(J37="","Missing rate",IF(COUNTIF('Rates'!$A$7:$A$106,J37)&lt;&gt;1,"Missing or duplicate rate ID",IF(VLOOKUP(J37,'Rates'!$A$7:$M$106,13,FALSE)&lt;&gt;"",VLOOKUP(J37,'Rates'!$A$7:$M$106,13,FALSE),IF(H37&lt;&gt;K37,"Unit mismatch",IF('Summary'!$B$8="","Missing project currency",IF(L37&lt;&gt;'Summary'!$B$8,"Currency mismatch","")))))))))))</x:f>
      </x:c>
      <x:c r="Q37" s="16"/>
      <x:c r="R37" s="7"/>
      <x:c r="S37" s="7"/>
    </x:row>
    <x:row r="38" ht="26" customHeight="1">
      <x:c r="A38" s="16"/>
      <x:c r="B38" s="7"/>
      <x:c r="C38" s="7"/>
      <x:c r="D38" s="7"/>
      <x:c r="E38" s="7"/>
      <x:c r="F38" s="7"/>
      <x:c r="G38" s="10"/>
      <x:c r="H38" s="7"/>
      <x:c r="I38" s="7"/>
      <x:c r="J38" s="16"/>
      <x:c r="K38" s="14" t="str">
        <x:f>IF(OR(J38="",COUNTIF('Rates'!$A$7:$A$106,J38)&lt;&gt;1),"",VLOOKUP(J38,'Rates'!$A$7:$M$106,4,FALSE))</x:f>
      </x:c>
      <x:c r="L38" s="14" t="str">
        <x:f>IF(OR(J38="",COUNTIF('Rates'!$A$7:$A$106,J38)&lt;&gt;1),"",VLOOKUP(J38,'Rates'!$A$7:$M$106,5,FALSE))</x:f>
      </x:c>
      <x:c r="M38" s="15" t="str">
        <x:f>IF(OR(J38="",COUNTIF('Rates'!$A$7:$A$106,J38)&lt;&gt;1),"",IF(VLOOKUP(J38,'Rates'!$A$7:$M$106,13,FALSE)&lt;&gt;"","",VLOOKUP(J38,'Rates'!$A$7:$M$106,3,FALSE)))</x:f>
      </x:c>
      <x:c r="N38" s="15" t="str">
        <x:f>IF(OR(J38="",COUNTIF('Rates'!$A$7:$A$106,J38)&lt;&gt;1),"",VLOOKUP(J38,'Rates'!$A$7:$M$106,11,FALSE))</x:f>
      </x:c>
      <x:c r="O38" s="15" t="str">
        <x:f>IF(OR(A38="",P38&lt;&gt;""),"",G38*M38)</x:f>
      </x:c>
      <x:c r="P38" s="14" t="str">
        <x:f>IF(A38="","",IF(COUNTIF($A$7:$A$106,A38)&lt;&gt;1,"Duplicate line ID",IF(AND(I38&lt;&gt;"Measured",I38&lt;&gt;"Provisional"),"Unmeasured or invalid quantity basis",IF(NOT(ISNUMBER(G38)),"Missing numeric quantity",IF(H38="","Missing quantity unit",IF(J38="","Missing rate",IF(COUNTIF('Rates'!$A$7:$A$106,J38)&lt;&gt;1,"Missing or duplicate rate ID",IF(VLOOKUP(J38,'Rates'!$A$7:$M$106,13,FALSE)&lt;&gt;"",VLOOKUP(J38,'Rates'!$A$7:$M$106,13,FALSE),IF(H38&lt;&gt;K38,"Unit mismatch",IF('Summary'!$B$8="","Missing project currency",IF(L38&lt;&gt;'Summary'!$B$8,"Currency mismatch","")))))))))))</x:f>
      </x:c>
      <x:c r="Q38" s="16"/>
      <x:c r="R38" s="7"/>
      <x:c r="S38" s="7"/>
    </x:row>
    <x:row r="39" ht="26" customHeight="1">
      <x:c r="A39" s="16"/>
      <x:c r="B39" s="7"/>
      <x:c r="C39" s="7"/>
      <x:c r="D39" s="7"/>
      <x:c r="E39" s="7"/>
      <x:c r="F39" s="7"/>
      <x:c r="G39" s="10"/>
      <x:c r="H39" s="7"/>
      <x:c r="I39" s="7"/>
      <x:c r="J39" s="16"/>
      <x:c r="K39" s="14" t="str">
        <x:f>IF(OR(J39="",COUNTIF('Rates'!$A$7:$A$106,J39)&lt;&gt;1),"",VLOOKUP(J39,'Rates'!$A$7:$M$106,4,FALSE))</x:f>
      </x:c>
      <x:c r="L39" s="14" t="str">
        <x:f>IF(OR(J39="",COUNTIF('Rates'!$A$7:$A$106,J39)&lt;&gt;1),"",VLOOKUP(J39,'Rates'!$A$7:$M$106,5,FALSE))</x:f>
      </x:c>
      <x:c r="M39" s="15" t="str">
        <x:f>IF(OR(J39="",COUNTIF('Rates'!$A$7:$A$106,J39)&lt;&gt;1),"",IF(VLOOKUP(J39,'Rates'!$A$7:$M$106,13,FALSE)&lt;&gt;"","",VLOOKUP(J39,'Rates'!$A$7:$M$106,3,FALSE)))</x:f>
      </x:c>
      <x:c r="N39" s="15" t="str">
        <x:f>IF(OR(J39="",COUNTIF('Rates'!$A$7:$A$106,J39)&lt;&gt;1),"",VLOOKUP(J39,'Rates'!$A$7:$M$106,11,FALSE))</x:f>
      </x:c>
      <x:c r="O39" s="15" t="str">
        <x:f>IF(OR(A39="",P39&lt;&gt;""),"",G39*M39)</x:f>
      </x:c>
      <x:c r="P39" s="14" t="str">
        <x:f>IF(A39="","",IF(COUNTIF($A$7:$A$106,A39)&lt;&gt;1,"Duplicate line ID",IF(AND(I39&lt;&gt;"Measured",I39&lt;&gt;"Provisional"),"Unmeasured or invalid quantity basis",IF(NOT(ISNUMBER(G39)),"Missing numeric quantity",IF(H39="","Missing quantity unit",IF(J39="","Missing rate",IF(COUNTIF('Rates'!$A$7:$A$106,J39)&lt;&gt;1,"Missing or duplicate rate ID",IF(VLOOKUP(J39,'Rates'!$A$7:$M$106,13,FALSE)&lt;&gt;"",VLOOKUP(J39,'Rates'!$A$7:$M$106,13,FALSE),IF(H39&lt;&gt;K39,"Unit mismatch",IF('Summary'!$B$8="","Missing project currency",IF(L39&lt;&gt;'Summary'!$B$8,"Currency mismatch","")))))))))))</x:f>
      </x:c>
      <x:c r="Q39" s="16"/>
      <x:c r="R39" s="7"/>
      <x:c r="S39" s="7"/>
    </x:row>
    <x:row r="40" ht="26" customHeight="1">
      <x:c r="A40" s="16"/>
      <x:c r="B40" s="7"/>
      <x:c r="C40" s="7"/>
      <x:c r="D40" s="7"/>
      <x:c r="E40" s="7"/>
      <x:c r="F40" s="7"/>
      <x:c r="G40" s="10"/>
      <x:c r="H40" s="7"/>
      <x:c r="I40" s="7"/>
      <x:c r="J40" s="16"/>
      <x:c r="K40" s="14" t="str">
        <x:f>IF(OR(J40="",COUNTIF('Rates'!$A$7:$A$106,J40)&lt;&gt;1),"",VLOOKUP(J40,'Rates'!$A$7:$M$106,4,FALSE))</x:f>
      </x:c>
      <x:c r="L40" s="14" t="str">
        <x:f>IF(OR(J40="",COUNTIF('Rates'!$A$7:$A$106,J40)&lt;&gt;1),"",VLOOKUP(J40,'Rates'!$A$7:$M$106,5,FALSE))</x:f>
      </x:c>
      <x:c r="M40" s="15" t="str">
        <x:f>IF(OR(J40="",COUNTIF('Rates'!$A$7:$A$106,J40)&lt;&gt;1),"",IF(VLOOKUP(J40,'Rates'!$A$7:$M$106,13,FALSE)&lt;&gt;"","",VLOOKUP(J40,'Rates'!$A$7:$M$106,3,FALSE)))</x:f>
      </x:c>
      <x:c r="N40" s="15" t="str">
        <x:f>IF(OR(J40="",COUNTIF('Rates'!$A$7:$A$106,J40)&lt;&gt;1),"",VLOOKUP(J40,'Rates'!$A$7:$M$106,11,FALSE))</x:f>
      </x:c>
      <x:c r="O40" s="15" t="str">
        <x:f>IF(OR(A40="",P40&lt;&gt;""),"",G40*M40)</x:f>
      </x:c>
      <x:c r="P40" s="14" t="str">
        <x:f>IF(A40="","",IF(COUNTIF($A$7:$A$106,A40)&lt;&gt;1,"Duplicate line ID",IF(AND(I40&lt;&gt;"Measured",I40&lt;&gt;"Provisional"),"Unmeasured or invalid quantity basis",IF(NOT(ISNUMBER(G40)),"Missing numeric quantity",IF(H40="","Missing quantity unit",IF(J40="","Missing rate",IF(COUNTIF('Rates'!$A$7:$A$106,J40)&lt;&gt;1,"Missing or duplicate rate ID",IF(VLOOKUP(J40,'Rates'!$A$7:$M$106,13,FALSE)&lt;&gt;"",VLOOKUP(J40,'Rates'!$A$7:$M$106,13,FALSE),IF(H40&lt;&gt;K40,"Unit mismatch",IF('Summary'!$B$8="","Missing project currency",IF(L40&lt;&gt;'Summary'!$B$8,"Currency mismatch","")))))))))))</x:f>
      </x:c>
      <x:c r="Q40" s="16"/>
      <x:c r="R40" s="7"/>
      <x:c r="S40" s="7"/>
    </x:row>
    <x:row r="41" ht="26" customHeight="1">
      <x:c r="A41" s="16"/>
      <x:c r="B41" s="7"/>
      <x:c r="C41" s="7"/>
      <x:c r="D41" s="7"/>
      <x:c r="E41" s="7"/>
      <x:c r="F41" s="7"/>
      <x:c r="G41" s="10"/>
      <x:c r="H41" s="7"/>
      <x:c r="I41" s="7"/>
      <x:c r="J41" s="16"/>
      <x:c r="K41" s="14" t="str">
        <x:f>IF(OR(J41="",COUNTIF('Rates'!$A$7:$A$106,J41)&lt;&gt;1),"",VLOOKUP(J41,'Rates'!$A$7:$M$106,4,FALSE))</x:f>
      </x:c>
      <x:c r="L41" s="14" t="str">
        <x:f>IF(OR(J41="",COUNTIF('Rates'!$A$7:$A$106,J41)&lt;&gt;1),"",VLOOKUP(J41,'Rates'!$A$7:$M$106,5,FALSE))</x:f>
      </x:c>
      <x:c r="M41" s="15" t="str">
        <x:f>IF(OR(J41="",COUNTIF('Rates'!$A$7:$A$106,J41)&lt;&gt;1),"",IF(VLOOKUP(J41,'Rates'!$A$7:$M$106,13,FALSE)&lt;&gt;"","",VLOOKUP(J41,'Rates'!$A$7:$M$106,3,FALSE)))</x:f>
      </x:c>
      <x:c r="N41" s="15" t="str">
        <x:f>IF(OR(J41="",COUNTIF('Rates'!$A$7:$A$106,J41)&lt;&gt;1),"",VLOOKUP(J41,'Rates'!$A$7:$M$106,11,FALSE))</x:f>
      </x:c>
      <x:c r="O41" s="15" t="str">
        <x:f>IF(OR(A41="",P41&lt;&gt;""),"",G41*M41)</x:f>
      </x:c>
      <x:c r="P41" s="14" t="str">
        <x:f>IF(A41="","",IF(COUNTIF($A$7:$A$106,A41)&lt;&gt;1,"Duplicate line ID",IF(AND(I41&lt;&gt;"Measured",I41&lt;&gt;"Provisional"),"Unmeasured or invalid quantity basis",IF(NOT(ISNUMBER(G41)),"Missing numeric quantity",IF(H41="","Missing quantity unit",IF(J41="","Missing rate",IF(COUNTIF('Rates'!$A$7:$A$106,J41)&lt;&gt;1,"Missing or duplicate rate ID",IF(VLOOKUP(J41,'Rates'!$A$7:$M$106,13,FALSE)&lt;&gt;"",VLOOKUP(J41,'Rates'!$A$7:$M$106,13,FALSE),IF(H41&lt;&gt;K41,"Unit mismatch",IF('Summary'!$B$8="","Missing project currency",IF(L41&lt;&gt;'Summary'!$B$8,"Currency mismatch","")))))))))))</x:f>
      </x:c>
      <x:c r="Q41" s="16"/>
      <x:c r="R41" s="7"/>
      <x:c r="S41" s="7"/>
    </x:row>
    <x:row r="42" ht="26" customHeight="1">
      <x:c r="A42" s="16"/>
      <x:c r="B42" s="7"/>
      <x:c r="C42" s="7"/>
      <x:c r="D42" s="7"/>
      <x:c r="E42" s="7"/>
      <x:c r="F42" s="7"/>
      <x:c r="G42" s="10"/>
      <x:c r="H42" s="7"/>
      <x:c r="I42" s="7"/>
      <x:c r="J42" s="16"/>
      <x:c r="K42" s="14" t="str">
        <x:f>IF(OR(J42="",COUNTIF('Rates'!$A$7:$A$106,J42)&lt;&gt;1),"",VLOOKUP(J42,'Rates'!$A$7:$M$106,4,FALSE))</x:f>
      </x:c>
      <x:c r="L42" s="14" t="str">
        <x:f>IF(OR(J42="",COUNTIF('Rates'!$A$7:$A$106,J42)&lt;&gt;1),"",VLOOKUP(J42,'Rates'!$A$7:$M$106,5,FALSE))</x:f>
      </x:c>
      <x:c r="M42" s="15" t="str">
        <x:f>IF(OR(J42="",COUNTIF('Rates'!$A$7:$A$106,J42)&lt;&gt;1),"",IF(VLOOKUP(J42,'Rates'!$A$7:$M$106,13,FALSE)&lt;&gt;"","",VLOOKUP(J42,'Rates'!$A$7:$M$106,3,FALSE)))</x:f>
      </x:c>
      <x:c r="N42" s="15" t="str">
        <x:f>IF(OR(J42="",COUNTIF('Rates'!$A$7:$A$106,J42)&lt;&gt;1),"",VLOOKUP(J42,'Rates'!$A$7:$M$106,11,FALSE))</x:f>
      </x:c>
      <x:c r="O42" s="15" t="str">
        <x:f>IF(OR(A42="",P42&lt;&gt;""),"",G42*M42)</x:f>
      </x:c>
      <x:c r="P42" s="14" t="str">
        <x:f>IF(A42="","",IF(COUNTIF($A$7:$A$106,A42)&lt;&gt;1,"Duplicate line ID",IF(AND(I42&lt;&gt;"Measured",I42&lt;&gt;"Provisional"),"Unmeasured or invalid quantity basis",IF(NOT(ISNUMBER(G42)),"Missing numeric quantity",IF(H42="","Missing quantity unit",IF(J42="","Missing rate",IF(COUNTIF('Rates'!$A$7:$A$106,J42)&lt;&gt;1,"Missing or duplicate rate ID",IF(VLOOKUP(J42,'Rates'!$A$7:$M$106,13,FALSE)&lt;&gt;"",VLOOKUP(J42,'Rates'!$A$7:$M$106,13,FALSE),IF(H42&lt;&gt;K42,"Unit mismatch",IF('Summary'!$B$8="","Missing project currency",IF(L42&lt;&gt;'Summary'!$B$8,"Currency mismatch","")))))))))))</x:f>
      </x:c>
      <x:c r="Q42" s="16"/>
      <x:c r="R42" s="7"/>
      <x:c r="S42" s="7"/>
    </x:row>
    <x:row r="43" ht="26" customHeight="1">
      <x:c r="A43" s="16"/>
      <x:c r="B43" s="7"/>
      <x:c r="C43" s="7"/>
      <x:c r="D43" s="7"/>
      <x:c r="E43" s="7"/>
      <x:c r="F43" s="7"/>
      <x:c r="G43" s="10"/>
      <x:c r="H43" s="7"/>
      <x:c r="I43" s="7"/>
      <x:c r="J43" s="16"/>
      <x:c r="K43" s="14" t="str">
        <x:f>IF(OR(J43="",COUNTIF('Rates'!$A$7:$A$106,J43)&lt;&gt;1),"",VLOOKUP(J43,'Rates'!$A$7:$M$106,4,FALSE))</x:f>
      </x:c>
      <x:c r="L43" s="14" t="str">
        <x:f>IF(OR(J43="",COUNTIF('Rates'!$A$7:$A$106,J43)&lt;&gt;1),"",VLOOKUP(J43,'Rates'!$A$7:$M$106,5,FALSE))</x:f>
      </x:c>
      <x:c r="M43" s="15" t="str">
        <x:f>IF(OR(J43="",COUNTIF('Rates'!$A$7:$A$106,J43)&lt;&gt;1),"",IF(VLOOKUP(J43,'Rates'!$A$7:$M$106,13,FALSE)&lt;&gt;"","",VLOOKUP(J43,'Rates'!$A$7:$M$106,3,FALSE)))</x:f>
      </x:c>
      <x:c r="N43" s="15" t="str">
        <x:f>IF(OR(J43="",COUNTIF('Rates'!$A$7:$A$106,J43)&lt;&gt;1),"",VLOOKUP(J43,'Rates'!$A$7:$M$106,11,FALSE))</x:f>
      </x:c>
      <x:c r="O43" s="15" t="str">
        <x:f>IF(OR(A43="",P43&lt;&gt;""),"",G43*M43)</x:f>
      </x:c>
      <x:c r="P43" s="14" t="str">
        <x:f>IF(A43="","",IF(COUNTIF($A$7:$A$106,A43)&lt;&gt;1,"Duplicate line ID",IF(AND(I43&lt;&gt;"Measured",I43&lt;&gt;"Provisional"),"Unmeasured or invalid quantity basis",IF(NOT(ISNUMBER(G43)),"Missing numeric quantity",IF(H43="","Missing quantity unit",IF(J43="","Missing rate",IF(COUNTIF('Rates'!$A$7:$A$106,J43)&lt;&gt;1,"Missing or duplicate rate ID",IF(VLOOKUP(J43,'Rates'!$A$7:$M$106,13,FALSE)&lt;&gt;"",VLOOKUP(J43,'Rates'!$A$7:$M$106,13,FALSE),IF(H43&lt;&gt;K43,"Unit mismatch",IF('Summary'!$B$8="","Missing project currency",IF(L43&lt;&gt;'Summary'!$B$8,"Currency mismatch","")))))))))))</x:f>
      </x:c>
      <x:c r="Q43" s="16"/>
      <x:c r="R43" s="7"/>
      <x:c r="S43" s="7"/>
    </x:row>
    <x:row r="44" ht="26" customHeight="1">
      <x:c r="A44" s="16"/>
      <x:c r="B44" s="7"/>
      <x:c r="C44" s="7"/>
      <x:c r="D44" s="7"/>
      <x:c r="E44" s="7"/>
      <x:c r="F44" s="7"/>
      <x:c r="G44" s="10"/>
      <x:c r="H44" s="7"/>
      <x:c r="I44" s="7"/>
      <x:c r="J44" s="16"/>
      <x:c r="K44" s="14" t="str">
        <x:f>IF(OR(J44="",COUNTIF('Rates'!$A$7:$A$106,J44)&lt;&gt;1),"",VLOOKUP(J44,'Rates'!$A$7:$M$106,4,FALSE))</x:f>
      </x:c>
      <x:c r="L44" s="14" t="str">
        <x:f>IF(OR(J44="",COUNTIF('Rates'!$A$7:$A$106,J44)&lt;&gt;1),"",VLOOKUP(J44,'Rates'!$A$7:$M$106,5,FALSE))</x:f>
      </x:c>
      <x:c r="M44" s="15" t="str">
        <x:f>IF(OR(J44="",COUNTIF('Rates'!$A$7:$A$106,J44)&lt;&gt;1),"",IF(VLOOKUP(J44,'Rates'!$A$7:$M$106,13,FALSE)&lt;&gt;"","",VLOOKUP(J44,'Rates'!$A$7:$M$106,3,FALSE)))</x:f>
      </x:c>
      <x:c r="N44" s="15" t="str">
        <x:f>IF(OR(J44="",COUNTIF('Rates'!$A$7:$A$106,J44)&lt;&gt;1),"",VLOOKUP(J44,'Rates'!$A$7:$M$106,11,FALSE))</x:f>
      </x:c>
      <x:c r="O44" s="15" t="str">
        <x:f>IF(OR(A44="",P44&lt;&gt;""),"",G44*M44)</x:f>
      </x:c>
      <x:c r="P44" s="14" t="str">
        <x:f>IF(A44="","",IF(COUNTIF($A$7:$A$106,A44)&lt;&gt;1,"Duplicate line ID",IF(AND(I44&lt;&gt;"Measured",I44&lt;&gt;"Provisional"),"Unmeasured or invalid quantity basis",IF(NOT(ISNUMBER(G44)),"Missing numeric quantity",IF(H44="","Missing quantity unit",IF(J44="","Missing rate",IF(COUNTIF('Rates'!$A$7:$A$106,J44)&lt;&gt;1,"Missing or duplicate rate ID",IF(VLOOKUP(J44,'Rates'!$A$7:$M$106,13,FALSE)&lt;&gt;"",VLOOKUP(J44,'Rates'!$A$7:$M$106,13,FALSE),IF(H44&lt;&gt;K44,"Unit mismatch",IF('Summary'!$B$8="","Missing project currency",IF(L44&lt;&gt;'Summary'!$B$8,"Currency mismatch","")))))))))))</x:f>
      </x:c>
      <x:c r="Q44" s="16"/>
      <x:c r="R44" s="7"/>
      <x:c r="S44" s="7"/>
    </x:row>
    <x:row r="45" ht="26" customHeight="1">
      <x:c r="A45" s="16"/>
      <x:c r="B45" s="7"/>
      <x:c r="C45" s="7"/>
      <x:c r="D45" s="7"/>
      <x:c r="E45" s="7"/>
      <x:c r="F45" s="7"/>
      <x:c r="G45" s="10"/>
      <x:c r="H45" s="7"/>
      <x:c r="I45" s="7"/>
      <x:c r="J45" s="16"/>
      <x:c r="K45" s="14" t="str">
        <x:f>IF(OR(J45="",COUNTIF('Rates'!$A$7:$A$106,J45)&lt;&gt;1),"",VLOOKUP(J45,'Rates'!$A$7:$M$106,4,FALSE))</x:f>
      </x:c>
      <x:c r="L45" s="14" t="str">
        <x:f>IF(OR(J45="",COUNTIF('Rates'!$A$7:$A$106,J45)&lt;&gt;1),"",VLOOKUP(J45,'Rates'!$A$7:$M$106,5,FALSE))</x:f>
      </x:c>
      <x:c r="M45" s="15" t="str">
        <x:f>IF(OR(J45="",COUNTIF('Rates'!$A$7:$A$106,J45)&lt;&gt;1),"",IF(VLOOKUP(J45,'Rates'!$A$7:$M$106,13,FALSE)&lt;&gt;"","",VLOOKUP(J45,'Rates'!$A$7:$M$106,3,FALSE)))</x:f>
      </x:c>
      <x:c r="N45" s="15" t="str">
        <x:f>IF(OR(J45="",COUNTIF('Rates'!$A$7:$A$106,J45)&lt;&gt;1),"",VLOOKUP(J45,'Rates'!$A$7:$M$106,11,FALSE))</x:f>
      </x:c>
      <x:c r="O45" s="15" t="str">
        <x:f>IF(OR(A45="",P45&lt;&gt;""),"",G45*M45)</x:f>
      </x:c>
      <x:c r="P45" s="14" t="str">
        <x:f>IF(A45="","",IF(COUNTIF($A$7:$A$106,A45)&lt;&gt;1,"Duplicate line ID",IF(AND(I45&lt;&gt;"Measured",I45&lt;&gt;"Provisional"),"Unmeasured or invalid quantity basis",IF(NOT(ISNUMBER(G45)),"Missing numeric quantity",IF(H45="","Missing quantity unit",IF(J45="","Missing rate",IF(COUNTIF('Rates'!$A$7:$A$106,J45)&lt;&gt;1,"Missing or duplicate rate ID",IF(VLOOKUP(J45,'Rates'!$A$7:$M$106,13,FALSE)&lt;&gt;"",VLOOKUP(J45,'Rates'!$A$7:$M$106,13,FALSE),IF(H45&lt;&gt;K45,"Unit mismatch",IF('Summary'!$B$8="","Missing project currency",IF(L45&lt;&gt;'Summary'!$B$8,"Currency mismatch","")))))))))))</x:f>
      </x:c>
      <x:c r="Q45" s="16"/>
      <x:c r="R45" s="7"/>
      <x:c r="S45" s="7"/>
    </x:row>
    <x:row r="46" ht="26" customHeight="1">
      <x:c r="A46" s="16"/>
      <x:c r="B46" s="7"/>
      <x:c r="C46" s="7"/>
      <x:c r="D46" s="7"/>
      <x:c r="E46" s="7"/>
      <x:c r="F46" s="7"/>
      <x:c r="G46" s="10"/>
      <x:c r="H46" s="7"/>
      <x:c r="I46" s="7"/>
      <x:c r="J46" s="16"/>
      <x:c r="K46" s="14" t="str">
        <x:f>IF(OR(J46="",COUNTIF('Rates'!$A$7:$A$106,J46)&lt;&gt;1),"",VLOOKUP(J46,'Rates'!$A$7:$M$106,4,FALSE))</x:f>
      </x:c>
      <x:c r="L46" s="14" t="str">
        <x:f>IF(OR(J46="",COUNTIF('Rates'!$A$7:$A$106,J46)&lt;&gt;1),"",VLOOKUP(J46,'Rates'!$A$7:$M$106,5,FALSE))</x:f>
      </x:c>
      <x:c r="M46" s="15" t="str">
        <x:f>IF(OR(J46="",COUNTIF('Rates'!$A$7:$A$106,J46)&lt;&gt;1),"",IF(VLOOKUP(J46,'Rates'!$A$7:$M$106,13,FALSE)&lt;&gt;"","",VLOOKUP(J46,'Rates'!$A$7:$M$106,3,FALSE)))</x:f>
      </x:c>
      <x:c r="N46" s="15" t="str">
        <x:f>IF(OR(J46="",COUNTIF('Rates'!$A$7:$A$106,J46)&lt;&gt;1),"",VLOOKUP(J46,'Rates'!$A$7:$M$106,11,FALSE))</x:f>
      </x:c>
      <x:c r="O46" s="15" t="str">
        <x:f>IF(OR(A46="",P46&lt;&gt;""),"",G46*M46)</x:f>
      </x:c>
      <x:c r="P46" s="14" t="str">
        <x:f>IF(A46="","",IF(COUNTIF($A$7:$A$106,A46)&lt;&gt;1,"Duplicate line ID",IF(AND(I46&lt;&gt;"Measured",I46&lt;&gt;"Provisional"),"Unmeasured or invalid quantity basis",IF(NOT(ISNUMBER(G46)),"Missing numeric quantity",IF(H46="","Missing quantity unit",IF(J46="","Missing rate",IF(COUNTIF('Rates'!$A$7:$A$106,J46)&lt;&gt;1,"Missing or duplicate rate ID",IF(VLOOKUP(J46,'Rates'!$A$7:$M$106,13,FALSE)&lt;&gt;"",VLOOKUP(J46,'Rates'!$A$7:$M$106,13,FALSE),IF(H46&lt;&gt;K46,"Unit mismatch",IF('Summary'!$B$8="","Missing project currency",IF(L46&lt;&gt;'Summary'!$B$8,"Currency mismatch","")))))))))))</x:f>
      </x:c>
      <x:c r="Q46" s="16"/>
      <x:c r="R46" s="7"/>
      <x:c r="S46" s="7"/>
    </x:row>
    <x:row r="47" ht="26" customHeight="1">
      <x:c r="A47" s="16"/>
      <x:c r="B47" s="7"/>
      <x:c r="C47" s="7"/>
      <x:c r="D47" s="7"/>
      <x:c r="E47" s="7"/>
      <x:c r="F47" s="7"/>
      <x:c r="G47" s="10"/>
      <x:c r="H47" s="7"/>
      <x:c r="I47" s="7"/>
      <x:c r="J47" s="16"/>
      <x:c r="K47" s="14" t="str">
        <x:f>IF(OR(J47="",COUNTIF('Rates'!$A$7:$A$106,J47)&lt;&gt;1),"",VLOOKUP(J47,'Rates'!$A$7:$M$106,4,FALSE))</x:f>
      </x:c>
      <x:c r="L47" s="14" t="str">
        <x:f>IF(OR(J47="",COUNTIF('Rates'!$A$7:$A$106,J47)&lt;&gt;1),"",VLOOKUP(J47,'Rates'!$A$7:$M$106,5,FALSE))</x:f>
      </x:c>
      <x:c r="M47" s="15" t="str">
        <x:f>IF(OR(J47="",COUNTIF('Rates'!$A$7:$A$106,J47)&lt;&gt;1),"",IF(VLOOKUP(J47,'Rates'!$A$7:$M$106,13,FALSE)&lt;&gt;"","",VLOOKUP(J47,'Rates'!$A$7:$M$106,3,FALSE)))</x:f>
      </x:c>
      <x:c r="N47" s="15" t="str">
        <x:f>IF(OR(J47="",COUNTIF('Rates'!$A$7:$A$106,J47)&lt;&gt;1),"",VLOOKUP(J47,'Rates'!$A$7:$M$106,11,FALSE))</x:f>
      </x:c>
      <x:c r="O47" s="15" t="str">
        <x:f>IF(OR(A47="",P47&lt;&gt;""),"",G47*M47)</x:f>
      </x:c>
      <x:c r="P47" s="14" t="str">
        <x:f>IF(A47="","",IF(COUNTIF($A$7:$A$106,A47)&lt;&gt;1,"Duplicate line ID",IF(AND(I47&lt;&gt;"Measured",I47&lt;&gt;"Provisional"),"Unmeasured or invalid quantity basis",IF(NOT(ISNUMBER(G47)),"Missing numeric quantity",IF(H47="","Missing quantity unit",IF(J47="","Missing rate",IF(COUNTIF('Rates'!$A$7:$A$106,J47)&lt;&gt;1,"Missing or duplicate rate ID",IF(VLOOKUP(J47,'Rates'!$A$7:$M$106,13,FALSE)&lt;&gt;"",VLOOKUP(J47,'Rates'!$A$7:$M$106,13,FALSE),IF(H47&lt;&gt;K47,"Unit mismatch",IF('Summary'!$B$8="","Missing project currency",IF(L47&lt;&gt;'Summary'!$B$8,"Currency mismatch","")))))))))))</x:f>
      </x:c>
      <x:c r="Q47" s="16"/>
      <x:c r="R47" s="7"/>
      <x:c r="S47" s="7"/>
    </x:row>
    <x:row r="48" ht="26" customHeight="1">
      <x:c r="A48" s="16"/>
      <x:c r="B48" s="7"/>
      <x:c r="C48" s="7"/>
      <x:c r="D48" s="7"/>
      <x:c r="E48" s="7"/>
      <x:c r="F48" s="7"/>
      <x:c r="G48" s="10"/>
      <x:c r="H48" s="7"/>
      <x:c r="I48" s="7"/>
      <x:c r="J48" s="16"/>
      <x:c r="K48" s="14" t="str">
        <x:f>IF(OR(J48="",COUNTIF('Rates'!$A$7:$A$106,J48)&lt;&gt;1),"",VLOOKUP(J48,'Rates'!$A$7:$M$106,4,FALSE))</x:f>
      </x:c>
      <x:c r="L48" s="14" t="str">
        <x:f>IF(OR(J48="",COUNTIF('Rates'!$A$7:$A$106,J48)&lt;&gt;1),"",VLOOKUP(J48,'Rates'!$A$7:$M$106,5,FALSE))</x:f>
      </x:c>
      <x:c r="M48" s="15" t="str">
        <x:f>IF(OR(J48="",COUNTIF('Rates'!$A$7:$A$106,J48)&lt;&gt;1),"",IF(VLOOKUP(J48,'Rates'!$A$7:$M$106,13,FALSE)&lt;&gt;"","",VLOOKUP(J48,'Rates'!$A$7:$M$106,3,FALSE)))</x:f>
      </x:c>
      <x:c r="N48" s="15" t="str">
        <x:f>IF(OR(J48="",COUNTIF('Rates'!$A$7:$A$106,J48)&lt;&gt;1),"",VLOOKUP(J48,'Rates'!$A$7:$M$106,11,FALSE))</x:f>
      </x:c>
      <x:c r="O48" s="15" t="str">
        <x:f>IF(OR(A48="",P48&lt;&gt;""),"",G48*M48)</x:f>
      </x:c>
      <x:c r="P48" s="14" t="str">
        <x:f>IF(A48="","",IF(COUNTIF($A$7:$A$106,A48)&lt;&gt;1,"Duplicate line ID",IF(AND(I48&lt;&gt;"Measured",I48&lt;&gt;"Provisional"),"Unmeasured or invalid quantity basis",IF(NOT(ISNUMBER(G48)),"Missing numeric quantity",IF(H48="","Missing quantity unit",IF(J48="","Missing rate",IF(COUNTIF('Rates'!$A$7:$A$106,J48)&lt;&gt;1,"Missing or duplicate rate ID",IF(VLOOKUP(J48,'Rates'!$A$7:$M$106,13,FALSE)&lt;&gt;"",VLOOKUP(J48,'Rates'!$A$7:$M$106,13,FALSE),IF(H48&lt;&gt;K48,"Unit mismatch",IF('Summary'!$B$8="","Missing project currency",IF(L48&lt;&gt;'Summary'!$B$8,"Currency mismatch","")))))))))))</x:f>
      </x:c>
      <x:c r="Q48" s="16"/>
      <x:c r="R48" s="7"/>
      <x:c r="S48" s="7"/>
    </x:row>
    <x:row r="49" ht="26" customHeight="1">
      <x:c r="A49" s="16"/>
      <x:c r="B49" s="7"/>
      <x:c r="C49" s="7"/>
      <x:c r="D49" s="7"/>
      <x:c r="E49" s="7"/>
      <x:c r="F49" s="7"/>
      <x:c r="G49" s="10"/>
      <x:c r="H49" s="7"/>
      <x:c r="I49" s="7"/>
      <x:c r="J49" s="16"/>
      <x:c r="K49" s="14" t="str">
        <x:f>IF(OR(J49="",COUNTIF('Rates'!$A$7:$A$106,J49)&lt;&gt;1),"",VLOOKUP(J49,'Rates'!$A$7:$M$106,4,FALSE))</x:f>
      </x:c>
      <x:c r="L49" s="14" t="str">
        <x:f>IF(OR(J49="",COUNTIF('Rates'!$A$7:$A$106,J49)&lt;&gt;1),"",VLOOKUP(J49,'Rates'!$A$7:$M$106,5,FALSE))</x:f>
      </x:c>
      <x:c r="M49" s="15" t="str">
        <x:f>IF(OR(J49="",COUNTIF('Rates'!$A$7:$A$106,J49)&lt;&gt;1),"",IF(VLOOKUP(J49,'Rates'!$A$7:$M$106,13,FALSE)&lt;&gt;"","",VLOOKUP(J49,'Rates'!$A$7:$M$106,3,FALSE)))</x:f>
      </x:c>
      <x:c r="N49" s="15" t="str">
        <x:f>IF(OR(J49="",COUNTIF('Rates'!$A$7:$A$106,J49)&lt;&gt;1),"",VLOOKUP(J49,'Rates'!$A$7:$M$106,11,FALSE))</x:f>
      </x:c>
      <x:c r="O49" s="15" t="str">
        <x:f>IF(OR(A49="",P49&lt;&gt;""),"",G49*M49)</x:f>
      </x:c>
      <x:c r="P49" s="14" t="str">
        <x:f>IF(A49="","",IF(COUNTIF($A$7:$A$106,A49)&lt;&gt;1,"Duplicate line ID",IF(AND(I49&lt;&gt;"Measured",I49&lt;&gt;"Provisional"),"Unmeasured or invalid quantity basis",IF(NOT(ISNUMBER(G49)),"Missing numeric quantity",IF(H49="","Missing quantity unit",IF(J49="","Missing rate",IF(COUNTIF('Rates'!$A$7:$A$106,J49)&lt;&gt;1,"Missing or duplicate rate ID",IF(VLOOKUP(J49,'Rates'!$A$7:$M$106,13,FALSE)&lt;&gt;"",VLOOKUP(J49,'Rates'!$A$7:$M$106,13,FALSE),IF(H49&lt;&gt;K49,"Unit mismatch",IF('Summary'!$B$8="","Missing project currency",IF(L49&lt;&gt;'Summary'!$B$8,"Currency mismatch","")))))))))))</x:f>
      </x:c>
      <x:c r="Q49" s="16"/>
      <x:c r="R49" s="7"/>
      <x:c r="S49" s="7"/>
    </x:row>
    <x:row r="50" ht="26" customHeight="1">
      <x:c r="A50" s="16"/>
      <x:c r="B50" s="7"/>
      <x:c r="C50" s="7"/>
      <x:c r="D50" s="7"/>
      <x:c r="E50" s="7"/>
      <x:c r="F50" s="7"/>
      <x:c r="G50" s="10"/>
      <x:c r="H50" s="7"/>
      <x:c r="I50" s="7"/>
      <x:c r="J50" s="16"/>
      <x:c r="K50" s="14" t="str">
        <x:f>IF(OR(J50="",COUNTIF('Rates'!$A$7:$A$106,J50)&lt;&gt;1),"",VLOOKUP(J50,'Rates'!$A$7:$M$106,4,FALSE))</x:f>
      </x:c>
      <x:c r="L50" s="14" t="str">
        <x:f>IF(OR(J50="",COUNTIF('Rates'!$A$7:$A$106,J50)&lt;&gt;1),"",VLOOKUP(J50,'Rates'!$A$7:$M$106,5,FALSE))</x:f>
      </x:c>
      <x:c r="M50" s="15" t="str">
        <x:f>IF(OR(J50="",COUNTIF('Rates'!$A$7:$A$106,J50)&lt;&gt;1),"",IF(VLOOKUP(J50,'Rates'!$A$7:$M$106,13,FALSE)&lt;&gt;"","",VLOOKUP(J50,'Rates'!$A$7:$M$106,3,FALSE)))</x:f>
      </x:c>
      <x:c r="N50" s="15" t="str">
        <x:f>IF(OR(J50="",COUNTIF('Rates'!$A$7:$A$106,J50)&lt;&gt;1),"",VLOOKUP(J50,'Rates'!$A$7:$M$106,11,FALSE))</x:f>
      </x:c>
      <x:c r="O50" s="15" t="str">
        <x:f>IF(OR(A50="",P50&lt;&gt;""),"",G50*M50)</x:f>
      </x:c>
      <x:c r="P50" s="14" t="str">
        <x:f>IF(A50="","",IF(COUNTIF($A$7:$A$106,A50)&lt;&gt;1,"Duplicate line ID",IF(AND(I50&lt;&gt;"Measured",I50&lt;&gt;"Provisional"),"Unmeasured or invalid quantity basis",IF(NOT(ISNUMBER(G50)),"Missing numeric quantity",IF(H50="","Missing quantity unit",IF(J50="","Missing rate",IF(COUNTIF('Rates'!$A$7:$A$106,J50)&lt;&gt;1,"Missing or duplicate rate ID",IF(VLOOKUP(J50,'Rates'!$A$7:$M$106,13,FALSE)&lt;&gt;"",VLOOKUP(J50,'Rates'!$A$7:$M$106,13,FALSE),IF(H50&lt;&gt;K50,"Unit mismatch",IF('Summary'!$B$8="","Missing project currency",IF(L50&lt;&gt;'Summary'!$B$8,"Currency mismatch","")))))))))))</x:f>
      </x:c>
      <x:c r="Q50" s="16"/>
      <x:c r="R50" s="7"/>
      <x:c r="S50" s="7"/>
    </x:row>
    <x:row r="51" ht="26" customHeight="1">
      <x:c r="A51" s="16"/>
      <x:c r="B51" s="7"/>
      <x:c r="C51" s="7"/>
      <x:c r="D51" s="7"/>
      <x:c r="E51" s="7"/>
      <x:c r="F51" s="7"/>
      <x:c r="G51" s="10"/>
      <x:c r="H51" s="7"/>
      <x:c r="I51" s="7"/>
      <x:c r="J51" s="16"/>
      <x:c r="K51" s="14" t="str">
        <x:f>IF(OR(J51="",COUNTIF('Rates'!$A$7:$A$106,J51)&lt;&gt;1),"",VLOOKUP(J51,'Rates'!$A$7:$M$106,4,FALSE))</x:f>
      </x:c>
      <x:c r="L51" s="14" t="str">
        <x:f>IF(OR(J51="",COUNTIF('Rates'!$A$7:$A$106,J51)&lt;&gt;1),"",VLOOKUP(J51,'Rates'!$A$7:$M$106,5,FALSE))</x:f>
      </x:c>
      <x:c r="M51" s="15" t="str">
        <x:f>IF(OR(J51="",COUNTIF('Rates'!$A$7:$A$106,J51)&lt;&gt;1),"",IF(VLOOKUP(J51,'Rates'!$A$7:$M$106,13,FALSE)&lt;&gt;"","",VLOOKUP(J51,'Rates'!$A$7:$M$106,3,FALSE)))</x:f>
      </x:c>
      <x:c r="N51" s="15" t="str">
        <x:f>IF(OR(J51="",COUNTIF('Rates'!$A$7:$A$106,J51)&lt;&gt;1),"",VLOOKUP(J51,'Rates'!$A$7:$M$106,11,FALSE))</x:f>
      </x:c>
      <x:c r="O51" s="15" t="str">
        <x:f>IF(OR(A51="",P51&lt;&gt;""),"",G51*M51)</x:f>
      </x:c>
      <x:c r="P51" s="14" t="str">
        <x:f>IF(A51="","",IF(COUNTIF($A$7:$A$106,A51)&lt;&gt;1,"Duplicate line ID",IF(AND(I51&lt;&gt;"Measured",I51&lt;&gt;"Provisional"),"Unmeasured or invalid quantity basis",IF(NOT(ISNUMBER(G51)),"Missing numeric quantity",IF(H51="","Missing quantity unit",IF(J51="","Missing rate",IF(COUNTIF('Rates'!$A$7:$A$106,J51)&lt;&gt;1,"Missing or duplicate rate ID",IF(VLOOKUP(J51,'Rates'!$A$7:$M$106,13,FALSE)&lt;&gt;"",VLOOKUP(J51,'Rates'!$A$7:$M$106,13,FALSE),IF(H51&lt;&gt;K51,"Unit mismatch",IF('Summary'!$B$8="","Missing project currency",IF(L51&lt;&gt;'Summary'!$B$8,"Currency mismatch","")))))))))))</x:f>
      </x:c>
      <x:c r="Q51" s="16"/>
      <x:c r="R51" s="7"/>
      <x:c r="S51" s="7"/>
    </x:row>
    <x:row r="52" ht="26" customHeight="1">
      <x:c r="A52" s="16"/>
      <x:c r="B52" s="7"/>
      <x:c r="C52" s="7"/>
      <x:c r="D52" s="7"/>
      <x:c r="E52" s="7"/>
      <x:c r="F52" s="7"/>
      <x:c r="G52" s="10"/>
      <x:c r="H52" s="7"/>
      <x:c r="I52" s="7"/>
      <x:c r="J52" s="16"/>
      <x:c r="K52" s="14" t="str">
        <x:f>IF(OR(J52="",COUNTIF('Rates'!$A$7:$A$106,J52)&lt;&gt;1),"",VLOOKUP(J52,'Rates'!$A$7:$M$106,4,FALSE))</x:f>
      </x:c>
      <x:c r="L52" s="14" t="str">
        <x:f>IF(OR(J52="",COUNTIF('Rates'!$A$7:$A$106,J52)&lt;&gt;1),"",VLOOKUP(J52,'Rates'!$A$7:$M$106,5,FALSE))</x:f>
      </x:c>
      <x:c r="M52" s="15" t="str">
        <x:f>IF(OR(J52="",COUNTIF('Rates'!$A$7:$A$106,J52)&lt;&gt;1),"",IF(VLOOKUP(J52,'Rates'!$A$7:$M$106,13,FALSE)&lt;&gt;"","",VLOOKUP(J52,'Rates'!$A$7:$M$106,3,FALSE)))</x:f>
      </x:c>
      <x:c r="N52" s="15" t="str">
        <x:f>IF(OR(J52="",COUNTIF('Rates'!$A$7:$A$106,J52)&lt;&gt;1),"",VLOOKUP(J52,'Rates'!$A$7:$M$106,11,FALSE))</x:f>
      </x:c>
      <x:c r="O52" s="15" t="str">
        <x:f>IF(OR(A52="",P52&lt;&gt;""),"",G52*M52)</x:f>
      </x:c>
      <x:c r="P52" s="14" t="str">
        <x:f>IF(A52="","",IF(COUNTIF($A$7:$A$106,A52)&lt;&gt;1,"Duplicate line ID",IF(AND(I52&lt;&gt;"Measured",I52&lt;&gt;"Provisional"),"Unmeasured or invalid quantity basis",IF(NOT(ISNUMBER(G52)),"Missing numeric quantity",IF(H52="","Missing quantity unit",IF(J52="","Missing rate",IF(COUNTIF('Rates'!$A$7:$A$106,J52)&lt;&gt;1,"Missing or duplicate rate ID",IF(VLOOKUP(J52,'Rates'!$A$7:$M$106,13,FALSE)&lt;&gt;"",VLOOKUP(J52,'Rates'!$A$7:$M$106,13,FALSE),IF(H52&lt;&gt;K52,"Unit mismatch",IF('Summary'!$B$8="","Missing project currency",IF(L52&lt;&gt;'Summary'!$B$8,"Currency mismatch","")))))))))))</x:f>
      </x:c>
      <x:c r="Q52" s="16"/>
      <x:c r="R52" s="7"/>
      <x:c r="S52" s="7"/>
    </x:row>
    <x:row r="53" ht="26" customHeight="1">
      <x:c r="A53" s="16"/>
      <x:c r="B53" s="7"/>
      <x:c r="C53" s="7"/>
      <x:c r="D53" s="7"/>
      <x:c r="E53" s="7"/>
      <x:c r="F53" s="7"/>
      <x:c r="G53" s="10"/>
      <x:c r="H53" s="7"/>
      <x:c r="I53" s="7"/>
      <x:c r="J53" s="16"/>
      <x:c r="K53" s="14" t="str">
        <x:f>IF(OR(J53="",COUNTIF('Rates'!$A$7:$A$106,J53)&lt;&gt;1),"",VLOOKUP(J53,'Rates'!$A$7:$M$106,4,FALSE))</x:f>
      </x:c>
      <x:c r="L53" s="14" t="str">
        <x:f>IF(OR(J53="",COUNTIF('Rates'!$A$7:$A$106,J53)&lt;&gt;1),"",VLOOKUP(J53,'Rates'!$A$7:$M$106,5,FALSE))</x:f>
      </x:c>
      <x:c r="M53" s="15" t="str">
        <x:f>IF(OR(J53="",COUNTIF('Rates'!$A$7:$A$106,J53)&lt;&gt;1),"",IF(VLOOKUP(J53,'Rates'!$A$7:$M$106,13,FALSE)&lt;&gt;"","",VLOOKUP(J53,'Rates'!$A$7:$M$106,3,FALSE)))</x:f>
      </x:c>
      <x:c r="N53" s="15" t="str">
        <x:f>IF(OR(J53="",COUNTIF('Rates'!$A$7:$A$106,J53)&lt;&gt;1),"",VLOOKUP(J53,'Rates'!$A$7:$M$106,11,FALSE))</x:f>
      </x:c>
      <x:c r="O53" s="15" t="str">
        <x:f>IF(OR(A53="",P53&lt;&gt;""),"",G53*M53)</x:f>
      </x:c>
      <x:c r="P53" s="14" t="str">
        <x:f>IF(A53="","",IF(COUNTIF($A$7:$A$106,A53)&lt;&gt;1,"Duplicate line ID",IF(AND(I53&lt;&gt;"Measured",I53&lt;&gt;"Provisional"),"Unmeasured or invalid quantity basis",IF(NOT(ISNUMBER(G53)),"Missing numeric quantity",IF(H53="","Missing quantity unit",IF(J53="","Missing rate",IF(COUNTIF('Rates'!$A$7:$A$106,J53)&lt;&gt;1,"Missing or duplicate rate ID",IF(VLOOKUP(J53,'Rates'!$A$7:$M$106,13,FALSE)&lt;&gt;"",VLOOKUP(J53,'Rates'!$A$7:$M$106,13,FALSE),IF(H53&lt;&gt;K53,"Unit mismatch",IF('Summary'!$B$8="","Missing project currency",IF(L53&lt;&gt;'Summary'!$B$8,"Currency mismatch","")))))))))))</x:f>
      </x:c>
      <x:c r="Q53" s="16"/>
      <x:c r="R53" s="7"/>
      <x:c r="S53" s="7"/>
    </x:row>
    <x:row r="54" ht="26" customHeight="1">
      <x:c r="A54" s="16"/>
      <x:c r="B54" s="7"/>
      <x:c r="C54" s="7"/>
      <x:c r="D54" s="7"/>
      <x:c r="E54" s="7"/>
      <x:c r="F54" s="7"/>
      <x:c r="G54" s="10"/>
      <x:c r="H54" s="7"/>
      <x:c r="I54" s="7"/>
      <x:c r="J54" s="16"/>
      <x:c r="K54" s="14" t="str">
        <x:f>IF(OR(J54="",COUNTIF('Rates'!$A$7:$A$106,J54)&lt;&gt;1),"",VLOOKUP(J54,'Rates'!$A$7:$M$106,4,FALSE))</x:f>
      </x:c>
      <x:c r="L54" s="14" t="str">
        <x:f>IF(OR(J54="",COUNTIF('Rates'!$A$7:$A$106,J54)&lt;&gt;1),"",VLOOKUP(J54,'Rates'!$A$7:$M$106,5,FALSE))</x:f>
      </x:c>
      <x:c r="M54" s="15" t="str">
        <x:f>IF(OR(J54="",COUNTIF('Rates'!$A$7:$A$106,J54)&lt;&gt;1),"",IF(VLOOKUP(J54,'Rates'!$A$7:$M$106,13,FALSE)&lt;&gt;"","",VLOOKUP(J54,'Rates'!$A$7:$M$106,3,FALSE)))</x:f>
      </x:c>
      <x:c r="N54" s="15" t="str">
        <x:f>IF(OR(J54="",COUNTIF('Rates'!$A$7:$A$106,J54)&lt;&gt;1),"",VLOOKUP(J54,'Rates'!$A$7:$M$106,11,FALSE))</x:f>
      </x:c>
      <x:c r="O54" s="15" t="str">
        <x:f>IF(OR(A54="",P54&lt;&gt;""),"",G54*M54)</x:f>
      </x:c>
      <x:c r="P54" s="14" t="str">
        <x:f>IF(A54="","",IF(COUNTIF($A$7:$A$106,A54)&lt;&gt;1,"Duplicate line ID",IF(AND(I54&lt;&gt;"Measured",I54&lt;&gt;"Provisional"),"Unmeasured or invalid quantity basis",IF(NOT(ISNUMBER(G54)),"Missing numeric quantity",IF(H54="","Missing quantity unit",IF(J54="","Missing rate",IF(COUNTIF('Rates'!$A$7:$A$106,J54)&lt;&gt;1,"Missing or duplicate rate ID",IF(VLOOKUP(J54,'Rates'!$A$7:$M$106,13,FALSE)&lt;&gt;"",VLOOKUP(J54,'Rates'!$A$7:$M$106,13,FALSE),IF(H54&lt;&gt;K54,"Unit mismatch",IF('Summary'!$B$8="","Missing project currency",IF(L54&lt;&gt;'Summary'!$B$8,"Currency mismatch","")))))))))))</x:f>
      </x:c>
      <x:c r="Q54" s="16"/>
      <x:c r="R54" s="7"/>
      <x:c r="S54" s="7"/>
    </x:row>
    <x:row r="55" ht="26" customHeight="1">
      <x:c r="A55" s="16"/>
      <x:c r="B55" s="7"/>
      <x:c r="C55" s="7"/>
      <x:c r="D55" s="7"/>
      <x:c r="E55" s="7"/>
      <x:c r="F55" s="7"/>
      <x:c r="G55" s="10"/>
      <x:c r="H55" s="7"/>
      <x:c r="I55" s="7"/>
      <x:c r="J55" s="16"/>
      <x:c r="K55" s="14" t="str">
        <x:f>IF(OR(J55="",COUNTIF('Rates'!$A$7:$A$106,J55)&lt;&gt;1),"",VLOOKUP(J55,'Rates'!$A$7:$M$106,4,FALSE))</x:f>
      </x:c>
      <x:c r="L55" s="14" t="str">
        <x:f>IF(OR(J55="",COUNTIF('Rates'!$A$7:$A$106,J55)&lt;&gt;1),"",VLOOKUP(J55,'Rates'!$A$7:$M$106,5,FALSE))</x:f>
      </x:c>
      <x:c r="M55" s="15" t="str">
        <x:f>IF(OR(J55="",COUNTIF('Rates'!$A$7:$A$106,J55)&lt;&gt;1),"",IF(VLOOKUP(J55,'Rates'!$A$7:$M$106,13,FALSE)&lt;&gt;"","",VLOOKUP(J55,'Rates'!$A$7:$M$106,3,FALSE)))</x:f>
      </x:c>
      <x:c r="N55" s="15" t="str">
        <x:f>IF(OR(J55="",COUNTIF('Rates'!$A$7:$A$106,J55)&lt;&gt;1),"",VLOOKUP(J55,'Rates'!$A$7:$M$106,11,FALSE))</x:f>
      </x:c>
      <x:c r="O55" s="15" t="str">
        <x:f>IF(OR(A55="",P55&lt;&gt;""),"",G55*M55)</x:f>
      </x:c>
      <x:c r="P55" s="14" t="str">
        <x:f>IF(A55="","",IF(COUNTIF($A$7:$A$106,A55)&lt;&gt;1,"Duplicate line ID",IF(AND(I55&lt;&gt;"Measured",I55&lt;&gt;"Provisional"),"Unmeasured or invalid quantity basis",IF(NOT(ISNUMBER(G55)),"Missing numeric quantity",IF(H55="","Missing quantity unit",IF(J55="","Missing rate",IF(COUNTIF('Rates'!$A$7:$A$106,J55)&lt;&gt;1,"Missing or duplicate rate ID",IF(VLOOKUP(J55,'Rates'!$A$7:$M$106,13,FALSE)&lt;&gt;"",VLOOKUP(J55,'Rates'!$A$7:$M$106,13,FALSE),IF(H55&lt;&gt;K55,"Unit mismatch",IF('Summary'!$B$8="","Missing project currency",IF(L55&lt;&gt;'Summary'!$B$8,"Currency mismatch","")))))))))))</x:f>
      </x:c>
      <x:c r="Q55" s="16"/>
      <x:c r="R55" s="7"/>
      <x:c r="S55" s="7"/>
    </x:row>
    <x:row r="56" ht="26" customHeight="1">
      <x:c r="A56" s="16"/>
      <x:c r="B56" s="7"/>
      <x:c r="C56" s="7"/>
      <x:c r="D56" s="7"/>
      <x:c r="E56" s="7"/>
      <x:c r="F56" s="7"/>
      <x:c r="G56" s="10"/>
      <x:c r="H56" s="7"/>
      <x:c r="I56" s="7"/>
      <x:c r="J56" s="16"/>
      <x:c r="K56" s="14" t="str">
        <x:f>IF(OR(J56="",COUNTIF('Rates'!$A$7:$A$106,J56)&lt;&gt;1),"",VLOOKUP(J56,'Rates'!$A$7:$M$106,4,FALSE))</x:f>
      </x:c>
      <x:c r="L56" s="14" t="str">
        <x:f>IF(OR(J56="",COUNTIF('Rates'!$A$7:$A$106,J56)&lt;&gt;1),"",VLOOKUP(J56,'Rates'!$A$7:$M$106,5,FALSE))</x:f>
      </x:c>
      <x:c r="M56" s="15" t="str">
        <x:f>IF(OR(J56="",COUNTIF('Rates'!$A$7:$A$106,J56)&lt;&gt;1),"",IF(VLOOKUP(J56,'Rates'!$A$7:$M$106,13,FALSE)&lt;&gt;"","",VLOOKUP(J56,'Rates'!$A$7:$M$106,3,FALSE)))</x:f>
      </x:c>
      <x:c r="N56" s="15" t="str">
        <x:f>IF(OR(J56="",COUNTIF('Rates'!$A$7:$A$106,J56)&lt;&gt;1),"",VLOOKUP(J56,'Rates'!$A$7:$M$106,11,FALSE))</x:f>
      </x:c>
      <x:c r="O56" s="15" t="str">
        <x:f>IF(OR(A56="",P56&lt;&gt;""),"",G56*M56)</x:f>
      </x:c>
      <x:c r="P56" s="14" t="str">
        <x:f>IF(A56="","",IF(COUNTIF($A$7:$A$106,A56)&lt;&gt;1,"Duplicate line ID",IF(AND(I56&lt;&gt;"Measured",I56&lt;&gt;"Provisional"),"Unmeasured or invalid quantity basis",IF(NOT(ISNUMBER(G56)),"Missing numeric quantity",IF(H56="","Missing quantity unit",IF(J56="","Missing rate",IF(COUNTIF('Rates'!$A$7:$A$106,J56)&lt;&gt;1,"Missing or duplicate rate ID",IF(VLOOKUP(J56,'Rates'!$A$7:$M$106,13,FALSE)&lt;&gt;"",VLOOKUP(J56,'Rates'!$A$7:$M$106,13,FALSE),IF(H56&lt;&gt;K56,"Unit mismatch",IF('Summary'!$B$8="","Missing project currency",IF(L56&lt;&gt;'Summary'!$B$8,"Currency mismatch","")))))))))))</x:f>
      </x:c>
      <x:c r="Q56" s="16"/>
      <x:c r="R56" s="7"/>
      <x:c r="S56" s="7"/>
    </x:row>
    <x:row r="57" ht="26" customHeight="1">
      <x:c r="A57" s="16"/>
      <x:c r="B57" s="7"/>
      <x:c r="C57" s="7"/>
      <x:c r="D57" s="7"/>
      <x:c r="E57" s="7"/>
      <x:c r="F57" s="7"/>
      <x:c r="G57" s="10"/>
      <x:c r="H57" s="7"/>
      <x:c r="I57" s="7"/>
      <x:c r="J57" s="16"/>
      <x:c r="K57" s="14" t="str">
        <x:f>IF(OR(J57="",COUNTIF('Rates'!$A$7:$A$106,J57)&lt;&gt;1),"",VLOOKUP(J57,'Rates'!$A$7:$M$106,4,FALSE))</x:f>
      </x:c>
      <x:c r="L57" s="14" t="str">
        <x:f>IF(OR(J57="",COUNTIF('Rates'!$A$7:$A$106,J57)&lt;&gt;1),"",VLOOKUP(J57,'Rates'!$A$7:$M$106,5,FALSE))</x:f>
      </x:c>
      <x:c r="M57" s="15" t="str">
        <x:f>IF(OR(J57="",COUNTIF('Rates'!$A$7:$A$106,J57)&lt;&gt;1),"",IF(VLOOKUP(J57,'Rates'!$A$7:$M$106,13,FALSE)&lt;&gt;"","",VLOOKUP(J57,'Rates'!$A$7:$M$106,3,FALSE)))</x:f>
      </x:c>
      <x:c r="N57" s="15" t="str">
        <x:f>IF(OR(J57="",COUNTIF('Rates'!$A$7:$A$106,J57)&lt;&gt;1),"",VLOOKUP(J57,'Rates'!$A$7:$M$106,11,FALSE))</x:f>
      </x:c>
      <x:c r="O57" s="15" t="str">
        <x:f>IF(OR(A57="",P57&lt;&gt;""),"",G57*M57)</x:f>
      </x:c>
      <x:c r="P57" s="14" t="str">
        <x:f>IF(A57="","",IF(COUNTIF($A$7:$A$106,A57)&lt;&gt;1,"Duplicate line ID",IF(AND(I57&lt;&gt;"Measured",I57&lt;&gt;"Provisional"),"Unmeasured or invalid quantity basis",IF(NOT(ISNUMBER(G57)),"Missing numeric quantity",IF(H57="","Missing quantity unit",IF(J57="","Missing rate",IF(COUNTIF('Rates'!$A$7:$A$106,J57)&lt;&gt;1,"Missing or duplicate rate ID",IF(VLOOKUP(J57,'Rates'!$A$7:$M$106,13,FALSE)&lt;&gt;"",VLOOKUP(J57,'Rates'!$A$7:$M$106,13,FALSE),IF(H57&lt;&gt;K57,"Unit mismatch",IF('Summary'!$B$8="","Missing project currency",IF(L57&lt;&gt;'Summary'!$B$8,"Currency mismatch","")))))))))))</x:f>
      </x:c>
      <x:c r="Q57" s="16"/>
      <x:c r="R57" s="7"/>
      <x:c r="S57" s="7"/>
    </x:row>
    <x:row r="58" ht="26" customHeight="1">
      <x:c r="A58" s="16"/>
      <x:c r="B58" s="7"/>
      <x:c r="C58" s="7"/>
      <x:c r="D58" s="7"/>
      <x:c r="E58" s="7"/>
      <x:c r="F58" s="7"/>
      <x:c r="G58" s="10"/>
      <x:c r="H58" s="7"/>
      <x:c r="I58" s="7"/>
      <x:c r="J58" s="16"/>
      <x:c r="K58" s="14" t="str">
        <x:f>IF(OR(J58="",COUNTIF('Rates'!$A$7:$A$106,J58)&lt;&gt;1),"",VLOOKUP(J58,'Rates'!$A$7:$M$106,4,FALSE))</x:f>
      </x:c>
      <x:c r="L58" s="14" t="str">
        <x:f>IF(OR(J58="",COUNTIF('Rates'!$A$7:$A$106,J58)&lt;&gt;1),"",VLOOKUP(J58,'Rates'!$A$7:$M$106,5,FALSE))</x:f>
      </x:c>
      <x:c r="M58" s="15" t="str">
        <x:f>IF(OR(J58="",COUNTIF('Rates'!$A$7:$A$106,J58)&lt;&gt;1),"",IF(VLOOKUP(J58,'Rates'!$A$7:$M$106,13,FALSE)&lt;&gt;"","",VLOOKUP(J58,'Rates'!$A$7:$M$106,3,FALSE)))</x:f>
      </x:c>
      <x:c r="N58" s="15" t="str">
        <x:f>IF(OR(J58="",COUNTIF('Rates'!$A$7:$A$106,J58)&lt;&gt;1),"",VLOOKUP(J58,'Rates'!$A$7:$M$106,11,FALSE))</x:f>
      </x:c>
      <x:c r="O58" s="15" t="str">
        <x:f>IF(OR(A58="",P58&lt;&gt;""),"",G58*M58)</x:f>
      </x:c>
      <x:c r="P58" s="14" t="str">
        <x:f>IF(A58="","",IF(COUNTIF($A$7:$A$106,A58)&lt;&gt;1,"Duplicate line ID",IF(AND(I58&lt;&gt;"Measured",I58&lt;&gt;"Provisional"),"Unmeasured or invalid quantity basis",IF(NOT(ISNUMBER(G58)),"Missing numeric quantity",IF(H58="","Missing quantity unit",IF(J58="","Missing rate",IF(COUNTIF('Rates'!$A$7:$A$106,J58)&lt;&gt;1,"Missing or duplicate rate ID",IF(VLOOKUP(J58,'Rates'!$A$7:$M$106,13,FALSE)&lt;&gt;"",VLOOKUP(J58,'Rates'!$A$7:$M$106,13,FALSE),IF(H58&lt;&gt;K58,"Unit mismatch",IF('Summary'!$B$8="","Missing project currency",IF(L58&lt;&gt;'Summary'!$B$8,"Currency mismatch","")))))))))))</x:f>
      </x:c>
      <x:c r="Q58" s="16"/>
      <x:c r="R58" s="7"/>
      <x:c r="S58" s="7"/>
    </x:row>
    <x:row r="59" ht="26" customHeight="1">
      <x:c r="A59" s="16"/>
      <x:c r="B59" s="7"/>
      <x:c r="C59" s="7"/>
      <x:c r="D59" s="7"/>
      <x:c r="E59" s="7"/>
      <x:c r="F59" s="7"/>
      <x:c r="G59" s="10"/>
      <x:c r="H59" s="7"/>
      <x:c r="I59" s="7"/>
      <x:c r="J59" s="16"/>
      <x:c r="K59" s="14" t="str">
        <x:f>IF(OR(J59="",COUNTIF('Rates'!$A$7:$A$106,J59)&lt;&gt;1),"",VLOOKUP(J59,'Rates'!$A$7:$M$106,4,FALSE))</x:f>
      </x:c>
      <x:c r="L59" s="14" t="str">
        <x:f>IF(OR(J59="",COUNTIF('Rates'!$A$7:$A$106,J59)&lt;&gt;1),"",VLOOKUP(J59,'Rates'!$A$7:$M$106,5,FALSE))</x:f>
      </x:c>
      <x:c r="M59" s="15" t="str">
        <x:f>IF(OR(J59="",COUNTIF('Rates'!$A$7:$A$106,J59)&lt;&gt;1),"",IF(VLOOKUP(J59,'Rates'!$A$7:$M$106,13,FALSE)&lt;&gt;"","",VLOOKUP(J59,'Rates'!$A$7:$M$106,3,FALSE)))</x:f>
      </x:c>
      <x:c r="N59" s="15" t="str">
        <x:f>IF(OR(J59="",COUNTIF('Rates'!$A$7:$A$106,J59)&lt;&gt;1),"",VLOOKUP(J59,'Rates'!$A$7:$M$106,11,FALSE))</x:f>
      </x:c>
      <x:c r="O59" s="15" t="str">
        <x:f>IF(OR(A59="",P59&lt;&gt;""),"",G59*M59)</x:f>
      </x:c>
      <x:c r="P59" s="14" t="str">
        <x:f>IF(A59="","",IF(COUNTIF($A$7:$A$106,A59)&lt;&gt;1,"Duplicate line ID",IF(AND(I59&lt;&gt;"Measured",I59&lt;&gt;"Provisional"),"Unmeasured or invalid quantity basis",IF(NOT(ISNUMBER(G59)),"Missing numeric quantity",IF(H59="","Missing quantity unit",IF(J59="","Missing rate",IF(COUNTIF('Rates'!$A$7:$A$106,J59)&lt;&gt;1,"Missing or duplicate rate ID",IF(VLOOKUP(J59,'Rates'!$A$7:$M$106,13,FALSE)&lt;&gt;"",VLOOKUP(J59,'Rates'!$A$7:$M$106,13,FALSE),IF(H59&lt;&gt;K59,"Unit mismatch",IF('Summary'!$B$8="","Missing project currency",IF(L59&lt;&gt;'Summary'!$B$8,"Currency mismatch","")))))))))))</x:f>
      </x:c>
      <x:c r="Q59" s="16"/>
      <x:c r="R59" s="7"/>
      <x:c r="S59" s="7"/>
    </x:row>
    <x:row r="60" ht="26" customHeight="1">
      <x:c r="A60" s="16"/>
      <x:c r="B60" s="7"/>
      <x:c r="C60" s="7"/>
      <x:c r="D60" s="7"/>
      <x:c r="E60" s="7"/>
      <x:c r="F60" s="7"/>
      <x:c r="G60" s="10"/>
      <x:c r="H60" s="7"/>
      <x:c r="I60" s="7"/>
      <x:c r="J60" s="16"/>
      <x:c r="K60" s="14" t="str">
        <x:f>IF(OR(J60="",COUNTIF('Rates'!$A$7:$A$106,J60)&lt;&gt;1),"",VLOOKUP(J60,'Rates'!$A$7:$M$106,4,FALSE))</x:f>
      </x:c>
      <x:c r="L60" s="14" t="str">
        <x:f>IF(OR(J60="",COUNTIF('Rates'!$A$7:$A$106,J60)&lt;&gt;1),"",VLOOKUP(J60,'Rates'!$A$7:$M$106,5,FALSE))</x:f>
      </x:c>
      <x:c r="M60" s="15" t="str">
        <x:f>IF(OR(J60="",COUNTIF('Rates'!$A$7:$A$106,J60)&lt;&gt;1),"",IF(VLOOKUP(J60,'Rates'!$A$7:$M$106,13,FALSE)&lt;&gt;"","",VLOOKUP(J60,'Rates'!$A$7:$M$106,3,FALSE)))</x:f>
      </x:c>
      <x:c r="N60" s="15" t="str">
        <x:f>IF(OR(J60="",COUNTIF('Rates'!$A$7:$A$106,J60)&lt;&gt;1),"",VLOOKUP(J60,'Rates'!$A$7:$M$106,11,FALSE))</x:f>
      </x:c>
      <x:c r="O60" s="15" t="str">
        <x:f>IF(OR(A60="",P60&lt;&gt;""),"",G60*M60)</x:f>
      </x:c>
      <x:c r="P60" s="14" t="str">
        <x:f>IF(A60="","",IF(COUNTIF($A$7:$A$106,A60)&lt;&gt;1,"Duplicate line ID",IF(AND(I60&lt;&gt;"Measured",I60&lt;&gt;"Provisional"),"Unmeasured or invalid quantity basis",IF(NOT(ISNUMBER(G60)),"Missing numeric quantity",IF(H60="","Missing quantity unit",IF(J60="","Missing rate",IF(COUNTIF('Rates'!$A$7:$A$106,J60)&lt;&gt;1,"Missing or duplicate rate ID",IF(VLOOKUP(J60,'Rates'!$A$7:$M$106,13,FALSE)&lt;&gt;"",VLOOKUP(J60,'Rates'!$A$7:$M$106,13,FALSE),IF(H60&lt;&gt;K60,"Unit mismatch",IF('Summary'!$B$8="","Missing project currency",IF(L60&lt;&gt;'Summary'!$B$8,"Currency mismatch","")))))))))))</x:f>
      </x:c>
      <x:c r="Q60" s="16"/>
      <x:c r="R60" s="7"/>
      <x:c r="S60" s="7"/>
    </x:row>
    <x:row r="61" ht="26" customHeight="1">
      <x:c r="A61" s="16"/>
      <x:c r="B61" s="7"/>
      <x:c r="C61" s="7"/>
      <x:c r="D61" s="7"/>
      <x:c r="E61" s="7"/>
      <x:c r="F61" s="7"/>
      <x:c r="G61" s="10"/>
      <x:c r="H61" s="7"/>
      <x:c r="I61" s="7"/>
      <x:c r="J61" s="16"/>
      <x:c r="K61" s="14" t="str">
        <x:f>IF(OR(J61="",COUNTIF('Rates'!$A$7:$A$106,J61)&lt;&gt;1),"",VLOOKUP(J61,'Rates'!$A$7:$M$106,4,FALSE))</x:f>
      </x:c>
      <x:c r="L61" s="14" t="str">
        <x:f>IF(OR(J61="",COUNTIF('Rates'!$A$7:$A$106,J61)&lt;&gt;1),"",VLOOKUP(J61,'Rates'!$A$7:$M$106,5,FALSE))</x:f>
      </x:c>
      <x:c r="M61" s="15" t="str">
        <x:f>IF(OR(J61="",COUNTIF('Rates'!$A$7:$A$106,J61)&lt;&gt;1),"",IF(VLOOKUP(J61,'Rates'!$A$7:$M$106,13,FALSE)&lt;&gt;"","",VLOOKUP(J61,'Rates'!$A$7:$M$106,3,FALSE)))</x:f>
      </x:c>
      <x:c r="N61" s="15" t="str">
        <x:f>IF(OR(J61="",COUNTIF('Rates'!$A$7:$A$106,J61)&lt;&gt;1),"",VLOOKUP(J61,'Rates'!$A$7:$M$106,11,FALSE))</x:f>
      </x:c>
      <x:c r="O61" s="15" t="str">
        <x:f>IF(OR(A61="",P61&lt;&gt;""),"",G61*M61)</x:f>
      </x:c>
      <x:c r="P61" s="14" t="str">
        <x:f>IF(A61="","",IF(COUNTIF($A$7:$A$106,A61)&lt;&gt;1,"Duplicate line ID",IF(AND(I61&lt;&gt;"Measured",I61&lt;&gt;"Provisional"),"Unmeasured or invalid quantity basis",IF(NOT(ISNUMBER(G61)),"Missing numeric quantity",IF(H61="","Missing quantity unit",IF(J61="","Missing rate",IF(COUNTIF('Rates'!$A$7:$A$106,J61)&lt;&gt;1,"Missing or duplicate rate ID",IF(VLOOKUP(J61,'Rates'!$A$7:$M$106,13,FALSE)&lt;&gt;"",VLOOKUP(J61,'Rates'!$A$7:$M$106,13,FALSE),IF(H61&lt;&gt;K61,"Unit mismatch",IF('Summary'!$B$8="","Missing project currency",IF(L61&lt;&gt;'Summary'!$B$8,"Currency mismatch","")))))))))))</x:f>
      </x:c>
      <x:c r="Q61" s="16"/>
      <x:c r="R61" s="7"/>
      <x:c r="S61" s="7"/>
    </x:row>
    <x:row r="62" ht="26" customHeight="1">
      <x:c r="A62" s="16"/>
      <x:c r="B62" s="7"/>
      <x:c r="C62" s="7"/>
      <x:c r="D62" s="7"/>
      <x:c r="E62" s="7"/>
      <x:c r="F62" s="7"/>
      <x:c r="G62" s="10"/>
      <x:c r="H62" s="7"/>
      <x:c r="I62" s="7"/>
      <x:c r="J62" s="16"/>
      <x:c r="K62" s="14" t="str">
        <x:f>IF(OR(J62="",COUNTIF('Rates'!$A$7:$A$106,J62)&lt;&gt;1),"",VLOOKUP(J62,'Rates'!$A$7:$M$106,4,FALSE))</x:f>
      </x:c>
      <x:c r="L62" s="14" t="str">
        <x:f>IF(OR(J62="",COUNTIF('Rates'!$A$7:$A$106,J62)&lt;&gt;1),"",VLOOKUP(J62,'Rates'!$A$7:$M$106,5,FALSE))</x:f>
      </x:c>
      <x:c r="M62" s="15" t="str">
        <x:f>IF(OR(J62="",COUNTIF('Rates'!$A$7:$A$106,J62)&lt;&gt;1),"",IF(VLOOKUP(J62,'Rates'!$A$7:$M$106,13,FALSE)&lt;&gt;"","",VLOOKUP(J62,'Rates'!$A$7:$M$106,3,FALSE)))</x:f>
      </x:c>
      <x:c r="N62" s="15" t="str">
        <x:f>IF(OR(J62="",COUNTIF('Rates'!$A$7:$A$106,J62)&lt;&gt;1),"",VLOOKUP(J62,'Rates'!$A$7:$M$106,11,FALSE))</x:f>
      </x:c>
      <x:c r="O62" s="15" t="str">
        <x:f>IF(OR(A62="",P62&lt;&gt;""),"",G62*M62)</x:f>
      </x:c>
      <x:c r="P62" s="14" t="str">
        <x:f>IF(A62="","",IF(COUNTIF($A$7:$A$106,A62)&lt;&gt;1,"Duplicate line ID",IF(AND(I62&lt;&gt;"Measured",I62&lt;&gt;"Provisional"),"Unmeasured or invalid quantity basis",IF(NOT(ISNUMBER(G62)),"Missing numeric quantity",IF(H62="","Missing quantity unit",IF(J62="","Missing rate",IF(COUNTIF('Rates'!$A$7:$A$106,J62)&lt;&gt;1,"Missing or duplicate rate ID",IF(VLOOKUP(J62,'Rates'!$A$7:$M$106,13,FALSE)&lt;&gt;"",VLOOKUP(J62,'Rates'!$A$7:$M$106,13,FALSE),IF(H62&lt;&gt;K62,"Unit mismatch",IF('Summary'!$B$8="","Missing project currency",IF(L62&lt;&gt;'Summary'!$B$8,"Currency mismatch","")))))))))))</x:f>
      </x:c>
      <x:c r="Q62" s="16"/>
      <x:c r="R62" s="7"/>
      <x:c r="S62" s="7"/>
    </x:row>
    <x:row r="63" ht="26" customHeight="1">
      <x:c r="A63" s="16"/>
      <x:c r="B63" s="7"/>
      <x:c r="C63" s="7"/>
      <x:c r="D63" s="7"/>
      <x:c r="E63" s="7"/>
      <x:c r="F63" s="7"/>
      <x:c r="G63" s="10"/>
      <x:c r="H63" s="7"/>
      <x:c r="I63" s="7"/>
      <x:c r="J63" s="16"/>
      <x:c r="K63" s="14" t="str">
        <x:f>IF(OR(J63="",COUNTIF('Rates'!$A$7:$A$106,J63)&lt;&gt;1),"",VLOOKUP(J63,'Rates'!$A$7:$M$106,4,FALSE))</x:f>
      </x:c>
      <x:c r="L63" s="14" t="str">
        <x:f>IF(OR(J63="",COUNTIF('Rates'!$A$7:$A$106,J63)&lt;&gt;1),"",VLOOKUP(J63,'Rates'!$A$7:$M$106,5,FALSE))</x:f>
      </x:c>
      <x:c r="M63" s="15" t="str">
        <x:f>IF(OR(J63="",COUNTIF('Rates'!$A$7:$A$106,J63)&lt;&gt;1),"",IF(VLOOKUP(J63,'Rates'!$A$7:$M$106,13,FALSE)&lt;&gt;"","",VLOOKUP(J63,'Rates'!$A$7:$M$106,3,FALSE)))</x:f>
      </x:c>
      <x:c r="N63" s="15" t="str">
        <x:f>IF(OR(J63="",COUNTIF('Rates'!$A$7:$A$106,J63)&lt;&gt;1),"",VLOOKUP(J63,'Rates'!$A$7:$M$106,11,FALSE))</x:f>
      </x:c>
      <x:c r="O63" s="15" t="str">
        <x:f>IF(OR(A63="",P63&lt;&gt;""),"",G63*M63)</x:f>
      </x:c>
      <x:c r="P63" s="14" t="str">
        <x:f>IF(A63="","",IF(COUNTIF($A$7:$A$106,A63)&lt;&gt;1,"Duplicate line ID",IF(AND(I63&lt;&gt;"Measured",I63&lt;&gt;"Provisional"),"Unmeasured or invalid quantity basis",IF(NOT(ISNUMBER(G63)),"Missing numeric quantity",IF(H63="","Missing quantity unit",IF(J63="","Missing rate",IF(COUNTIF('Rates'!$A$7:$A$106,J63)&lt;&gt;1,"Missing or duplicate rate ID",IF(VLOOKUP(J63,'Rates'!$A$7:$M$106,13,FALSE)&lt;&gt;"",VLOOKUP(J63,'Rates'!$A$7:$M$106,13,FALSE),IF(H63&lt;&gt;K63,"Unit mismatch",IF('Summary'!$B$8="","Missing project currency",IF(L63&lt;&gt;'Summary'!$B$8,"Currency mismatch","")))))))))))</x:f>
      </x:c>
      <x:c r="Q63" s="16"/>
      <x:c r="R63" s="7"/>
      <x:c r="S63" s="7"/>
    </x:row>
    <x:row r="64" ht="26" customHeight="1">
      <x:c r="A64" s="16"/>
      <x:c r="B64" s="7"/>
      <x:c r="C64" s="7"/>
      <x:c r="D64" s="7"/>
      <x:c r="E64" s="7"/>
      <x:c r="F64" s="7"/>
      <x:c r="G64" s="10"/>
      <x:c r="H64" s="7"/>
      <x:c r="I64" s="7"/>
      <x:c r="J64" s="16"/>
      <x:c r="K64" s="14" t="str">
        <x:f>IF(OR(J64="",COUNTIF('Rates'!$A$7:$A$106,J64)&lt;&gt;1),"",VLOOKUP(J64,'Rates'!$A$7:$M$106,4,FALSE))</x:f>
      </x:c>
      <x:c r="L64" s="14" t="str">
        <x:f>IF(OR(J64="",COUNTIF('Rates'!$A$7:$A$106,J64)&lt;&gt;1),"",VLOOKUP(J64,'Rates'!$A$7:$M$106,5,FALSE))</x:f>
      </x:c>
      <x:c r="M64" s="15" t="str">
        <x:f>IF(OR(J64="",COUNTIF('Rates'!$A$7:$A$106,J64)&lt;&gt;1),"",IF(VLOOKUP(J64,'Rates'!$A$7:$M$106,13,FALSE)&lt;&gt;"","",VLOOKUP(J64,'Rates'!$A$7:$M$106,3,FALSE)))</x:f>
      </x:c>
      <x:c r="N64" s="15" t="str">
        <x:f>IF(OR(J64="",COUNTIF('Rates'!$A$7:$A$106,J64)&lt;&gt;1),"",VLOOKUP(J64,'Rates'!$A$7:$M$106,11,FALSE))</x:f>
      </x:c>
      <x:c r="O64" s="15" t="str">
        <x:f>IF(OR(A64="",P64&lt;&gt;""),"",G64*M64)</x:f>
      </x:c>
      <x:c r="P64" s="14" t="str">
        <x:f>IF(A64="","",IF(COUNTIF($A$7:$A$106,A64)&lt;&gt;1,"Duplicate line ID",IF(AND(I64&lt;&gt;"Measured",I64&lt;&gt;"Provisional"),"Unmeasured or invalid quantity basis",IF(NOT(ISNUMBER(G64)),"Missing numeric quantity",IF(H64="","Missing quantity unit",IF(J64="","Missing rate",IF(COUNTIF('Rates'!$A$7:$A$106,J64)&lt;&gt;1,"Missing or duplicate rate ID",IF(VLOOKUP(J64,'Rates'!$A$7:$M$106,13,FALSE)&lt;&gt;"",VLOOKUP(J64,'Rates'!$A$7:$M$106,13,FALSE),IF(H64&lt;&gt;K64,"Unit mismatch",IF('Summary'!$B$8="","Missing project currency",IF(L64&lt;&gt;'Summary'!$B$8,"Currency mismatch","")))))))))))</x:f>
      </x:c>
      <x:c r="Q64" s="16"/>
      <x:c r="R64" s="7"/>
      <x:c r="S64" s="7"/>
    </x:row>
    <x:row r="65" ht="26" customHeight="1">
      <x:c r="A65" s="16"/>
      <x:c r="B65" s="7"/>
      <x:c r="C65" s="7"/>
      <x:c r="D65" s="7"/>
      <x:c r="E65" s="7"/>
      <x:c r="F65" s="7"/>
      <x:c r="G65" s="10"/>
      <x:c r="H65" s="7"/>
      <x:c r="I65" s="7"/>
      <x:c r="J65" s="16"/>
      <x:c r="K65" s="14" t="str">
        <x:f>IF(OR(J65="",COUNTIF('Rates'!$A$7:$A$106,J65)&lt;&gt;1),"",VLOOKUP(J65,'Rates'!$A$7:$M$106,4,FALSE))</x:f>
      </x:c>
      <x:c r="L65" s="14" t="str">
        <x:f>IF(OR(J65="",COUNTIF('Rates'!$A$7:$A$106,J65)&lt;&gt;1),"",VLOOKUP(J65,'Rates'!$A$7:$M$106,5,FALSE))</x:f>
      </x:c>
      <x:c r="M65" s="15" t="str">
        <x:f>IF(OR(J65="",COUNTIF('Rates'!$A$7:$A$106,J65)&lt;&gt;1),"",IF(VLOOKUP(J65,'Rates'!$A$7:$M$106,13,FALSE)&lt;&gt;"","",VLOOKUP(J65,'Rates'!$A$7:$M$106,3,FALSE)))</x:f>
      </x:c>
      <x:c r="N65" s="15" t="str">
        <x:f>IF(OR(J65="",COUNTIF('Rates'!$A$7:$A$106,J65)&lt;&gt;1),"",VLOOKUP(J65,'Rates'!$A$7:$M$106,11,FALSE))</x:f>
      </x:c>
      <x:c r="O65" s="15" t="str">
        <x:f>IF(OR(A65="",P65&lt;&gt;""),"",G65*M65)</x:f>
      </x:c>
      <x:c r="P65" s="14" t="str">
        <x:f>IF(A65="","",IF(COUNTIF($A$7:$A$106,A65)&lt;&gt;1,"Duplicate line ID",IF(AND(I65&lt;&gt;"Measured",I65&lt;&gt;"Provisional"),"Unmeasured or invalid quantity basis",IF(NOT(ISNUMBER(G65)),"Missing numeric quantity",IF(H65="","Missing quantity unit",IF(J65="","Missing rate",IF(COUNTIF('Rates'!$A$7:$A$106,J65)&lt;&gt;1,"Missing or duplicate rate ID",IF(VLOOKUP(J65,'Rates'!$A$7:$M$106,13,FALSE)&lt;&gt;"",VLOOKUP(J65,'Rates'!$A$7:$M$106,13,FALSE),IF(H65&lt;&gt;K65,"Unit mismatch",IF('Summary'!$B$8="","Missing project currency",IF(L65&lt;&gt;'Summary'!$B$8,"Currency mismatch","")))))))))))</x:f>
      </x:c>
      <x:c r="Q65" s="16"/>
      <x:c r="R65" s="7"/>
      <x:c r="S65" s="7"/>
    </x:row>
    <x:row r="66" ht="26" customHeight="1">
      <x:c r="A66" s="16"/>
      <x:c r="B66" s="7"/>
      <x:c r="C66" s="7"/>
      <x:c r="D66" s="7"/>
      <x:c r="E66" s="7"/>
      <x:c r="F66" s="7"/>
      <x:c r="G66" s="10"/>
      <x:c r="H66" s="7"/>
      <x:c r="I66" s="7"/>
      <x:c r="J66" s="16"/>
      <x:c r="K66" s="14" t="str">
        <x:f>IF(OR(J66="",COUNTIF('Rates'!$A$7:$A$106,J66)&lt;&gt;1),"",VLOOKUP(J66,'Rates'!$A$7:$M$106,4,FALSE))</x:f>
      </x:c>
      <x:c r="L66" s="14" t="str">
        <x:f>IF(OR(J66="",COUNTIF('Rates'!$A$7:$A$106,J66)&lt;&gt;1),"",VLOOKUP(J66,'Rates'!$A$7:$M$106,5,FALSE))</x:f>
      </x:c>
      <x:c r="M66" s="15" t="str">
        <x:f>IF(OR(J66="",COUNTIF('Rates'!$A$7:$A$106,J66)&lt;&gt;1),"",IF(VLOOKUP(J66,'Rates'!$A$7:$M$106,13,FALSE)&lt;&gt;"","",VLOOKUP(J66,'Rates'!$A$7:$M$106,3,FALSE)))</x:f>
      </x:c>
      <x:c r="N66" s="15" t="str">
        <x:f>IF(OR(J66="",COUNTIF('Rates'!$A$7:$A$106,J66)&lt;&gt;1),"",VLOOKUP(J66,'Rates'!$A$7:$M$106,11,FALSE))</x:f>
      </x:c>
      <x:c r="O66" s="15" t="str">
        <x:f>IF(OR(A66="",P66&lt;&gt;""),"",G66*M66)</x:f>
      </x:c>
      <x:c r="P66" s="14" t="str">
        <x:f>IF(A66="","",IF(COUNTIF($A$7:$A$106,A66)&lt;&gt;1,"Duplicate line ID",IF(AND(I66&lt;&gt;"Measured",I66&lt;&gt;"Provisional"),"Unmeasured or invalid quantity basis",IF(NOT(ISNUMBER(G66)),"Missing numeric quantity",IF(H66="","Missing quantity unit",IF(J66="","Missing rate",IF(COUNTIF('Rates'!$A$7:$A$106,J66)&lt;&gt;1,"Missing or duplicate rate ID",IF(VLOOKUP(J66,'Rates'!$A$7:$M$106,13,FALSE)&lt;&gt;"",VLOOKUP(J66,'Rates'!$A$7:$M$106,13,FALSE),IF(H66&lt;&gt;K66,"Unit mismatch",IF('Summary'!$B$8="","Missing project currency",IF(L66&lt;&gt;'Summary'!$B$8,"Currency mismatch","")))))))))))</x:f>
      </x:c>
      <x:c r="Q66" s="16"/>
      <x:c r="R66" s="7"/>
      <x:c r="S66" s="7"/>
    </x:row>
    <x:row r="67" ht="26" customHeight="1">
      <x:c r="A67" s="16"/>
      <x:c r="B67" s="7"/>
      <x:c r="C67" s="7"/>
      <x:c r="D67" s="7"/>
      <x:c r="E67" s="7"/>
      <x:c r="F67" s="7"/>
      <x:c r="G67" s="10"/>
      <x:c r="H67" s="7"/>
      <x:c r="I67" s="7"/>
      <x:c r="J67" s="16"/>
      <x:c r="K67" s="14" t="str">
        <x:f>IF(OR(J67="",COUNTIF('Rates'!$A$7:$A$106,J67)&lt;&gt;1),"",VLOOKUP(J67,'Rates'!$A$7:$M$106,4,FALSE))</x:f>
      </x:c>
      <x:c r="L67" s="14" t="str">
        <x:f>IF(OR(J67="",COUNTIF('Rates'!$A$7:$A$106,J67)&lt;&gt;1),"",VLOOKUP(J67,'Rates'!$A$7:$M$106,5,FALSE))</x:f>
      </x:c>
      <x:c r="M67" s="15" t="str">
        <x:f>IF(OR(J67="",COUNTIF('Rates'!$A$7:$A$106,J67)&lt;&gt;1),"",IF(VLOOKUP(J67,'Rates'!$A$7:$M$106,13,FALSE)&lt;&gt;"","",VLOOKUP(J67,'Rates'!$A$7:$M$106,3,FALSE)))</x:f>
      </x:c>
      <x:c r="N67" s="15" t="str">
        <x:f>IF(OR(J67="",COUNTIF('Rates'!$A$7:$A$106,J67)&lt;&gt;1),"",VLOOKUP(J67,'Rates'!$A$7:$M$106,11,FALSE))</x:f>
      </x:c>
      <x:c r="O67" s="15" t="str">
        <x:f>IF(OR(A67="",P67&lt;&gt;""),"",G67*M67)</x:f>
      </x:c>
      <x:c r="P67" s="14" t="str">
        <x:f>IF(A67="","",IF(COUNTIF($A$7:$A$106,A67)&lt;&gt;1,"Duplicate line ID",IF(AND(I67&lt;&gt;"Measured",I67&lt;&gt;"Provisional"),"Unmeasured or invalid quantity basis",IF(NOT(ISNUMBER(G67)),"Missing numeric quantity",IF(H67="","Missing quantity unit",IF(J67="","Missing rate",IF(COUNTIF('Rates'!$A$7:$A$106,J67)&lt;&gt;1,"Missing or duplicate rate ID",IF(VLOOKUP(J67,'Rates'!$A$7:$M$106,13,FALSE)&lt;&gt;"",VLOOKUP(J67,'Rates'!$A$7:$M$106,13,FALSE),IF(H67&lt;&gt;K67,"Unit mismatch",IF('Summary'!$B$8="","Missing project currency",IF(L67&lt;&gt;'Summary'!$B$8,"Currency mismatch","")))))))))))</x:f>
      </x:c>
      <x:c r="Q67" s="16"/>
      <x:c r="R67" s="7"/>
      <x:c r="S67" s="7"/>
    </x:row>
    <x:row r="68" ht="26" customHeight="1">
      <x:c r="A68" s="16"/>
      <x:c r="B68" s="7"/>
      <x:c r="C68" s="7"/>
      <x:c r="D68" s="7"/>
      <x:c r="E68" s="7"/>
      <x:c r="F68" s="7"/>
      <x:c r="G68" s="10"/>
      <x:c r="H68" s="7"/>
      <x:c r="I68" s="7"/>
      <x:c r="J68" s="16"/>
      <x:c r="K68" s="14" t="str">
        <x:f>IF(OR(J68="",COUNTIF('Rates'!$A$7:$A$106,J68)&lt;&gt;1),"",VLOOKUP(J68,'Rates'!$A$7:$M$106,4,FALSE))</x:f>
      </x:c>
      <x:c r="L68" s="14" t="str">
        <x:f>IF(OR(J68="",COUNTIF('Rates'!$A$7:$A$106,J68)&lt;&gt;1),"",VLOOKUP(J68,'Rates'!$A$7:$M$106,5,FALSE))</x:f>
      </x:c>
      <x:c r="M68" s="15" t="str">
        <x:f>IF(OR(J68="",COUNTIF('Rates'!$A$7:$A$106,J68)&lt;&gt;1),"",IF(VLOOKUP(J68,'Rates'!$A$7:$M$106,13,FALSE)&lt;&gt;"","",VLOOKUP(J68,'Rates'!$A$7:$M$106,3,FALSE)))</x:f>
      </x:c>
      <x:c r="N68" s="15" t="str">
        <x:f>IF(OR(J68="",COUNTIF('Rates'!$A$7:$A$106,J68)&lt;&gt;1),"",VLOOKUP(J68,'Rates'!$A$7:$M$106,11,FALSE))</x:f>
      </x:c>
      <x:c r="O68" s="15" t="str">
        <x:f>IF(OR(A68="",P68&lt;&gt;""),"",G68*M68)</x:f>
      </x:c>
      <x:c r="P68" s="14" t="str">
        <x:f>IF(A68="","",IF(COUNTIF($A$7:$A$106,A68)&lt;&gt;1,"Duplicate line ID",IF(AND(I68&lt;&gt;"Measured",I68&lt;&gt;"Provisional"),"Unmeasured or invalid quantity basis",IF(NOT(ISNUMBER(G68)),"Missing numeric quantity",IF(H68="","Missing quantity unit",IF(J68="","Missing rate",IF(COUNTIF('Rates'!$A$7:$A$106,J68)&lt;&gt;1,"Missing or duplicate rate ID",IF(VLOOKUP(J68,'Rates'!$A$7:$M$106,13,FALSE)&lt;&gt;"",VLOOKUP(J68,'Rates'!$A$7:$M$106,13,FALSE),IF(H68&lt;&gt;K68,"Unit mismatch",IF('Summary'!$B$8="","Missing project currency",IF(L68&lt;&gt;'Summary'!$B$8,"Currency mismatch","")))))))))))</x:f>
      </x:c>
      <x:c r="Q68" s="16"/>
      <x:c r="R68" s="7"/>
      <x:c r="S68" s="7"/>
    </x:row>
    <x:row r="69" ht="26" customHeight="1">
      <x:c r="A69" s="16"/>
      <x:c r="B69" s="7"/>
      <x:c r="C69" s="7"/>
      <x:c r="D69" s="7"/>
      <x:c r="E69" s="7"/>
      <x:c r="F69" s="7"/>
      <x:c r="G69" s="10"/>
      <x:c r="H69" s="7"/>
      <x:c r="I69" s="7"/>
      <x:c r="J69" s="16"/>
      <x:c r="K69" s="14" t="str">
        <x:f>IF(OR(J69="",COUNTIF('Rates'!$A$7:$A$106,J69)&lt;&gt;1),"",VLOOKUP(J69,'Rates'!$A$7:$M$106,4,FALSE))</x:f>
      </x:c>
      <x:c r="L69" s="14" t="str">
        <x:f>IF(OR(J69="",COUNTIF('Rates'!$A$7:$A$106,J69)&lt;&gt;1),"",VLOOKUP(J69,'Rates'!$A$7:$M$106,5,FALSE))</x:f>
      </x:c>
      <x:c r="M69" s="15" t="str">
        <x:f>IF(OR(J69="",COUNTIF('Rates'!$A$7:$A$106,J69)&lt;&gt;1),"",IF(VLOOKUP(J69,'Rates'!$A$7:$M$106,13,FALSE)&lt;&gt;"","",VLOOKUP(J69,'Rates'!$A$7:$M$106,3,FALSE)))</x:f>
      </x:c>
      <x:c r="N69" s="15" t="str">
        <x:f>IF(OR(J69="",COUNTIF('Rates'!$A$7:$A$106,J69)&lt;&gt;1),"",VLOOKUP(J69,'Rates'!$A$7:$M$106,11,FALSE))</x:f>
      </x:c>
      <x:c r="O69" s="15" t="str">
        <x:f>IF(OR(A69="",P69&lt;&gt;""),"",G69*M69)</x:f>
      </x:c>
      <x:c r="P69" s="14" t="str">
        <x:f>IF(A69="","",IF(COUNTIF($A$7:$A$106,A69)&lt;&gt;1,"Duplicate line ID",IF(AND(I69&lt;&gt;"Measured",I69&lt;&gt;"Provisional"),"Unmeasured or invalid quantity basis",IF(NOT(ISNUMBER(G69)),"Missing numeric quantity",IF(H69="","Missing quantity unit",IF(J69="","Missing rate",IF(COUNTIF('Rates'!$A$7:$A$106,J69)&lt;&gt;1,"Missing or duplicate rate ID",IF(VLOOKUP(J69,'Rates'!$A$7:$M$106,13,FALSE)&lt;&gt;"",VLOOKUP(J69,'Rates'!$A$7:$M$106,13,FALSE),IF(H69&lt;&gt;K69,"Unit mismatch",IF('Summary'!$B$8="","Missing project currency",IF(L69&lt;&gt;'Summary'!$B$8,"Currency mismatch","")))))))))))</x:f>
      </x:c>
      <x:c r="Q69" s="16"/>
      <x:c r="R69" s="7"/>
      <x:c r="S69" s="7"/>
    </x:row>
    <x:row r="70" ht="26" customHeight="1">
      <x:c r="A70" s="16"/>
      <x:c r="B70" s="7"/>
      <x:c r="C70" s="7"/>
      <x:c r="D70" s="7"/>
      <x:c r="E70" s="7"/>
      <x:c r="F70" s="7"/>
      <x:c r="G70" s="10"/>
      <x:c r="H70" s="7"/>
      <x:c r="I70" s="7"/>
      <x:c r="J70" s="16"/>
      <x:c r="K70" s="14" t="str">
        <x:f>IF(OR(J70="",COUNTIF('Rates'!$A$7:$A$106,J70)&lt;&gt;1),"",VLOOKUP(J70,'Rates'!$A$7:$M$106,4,FALSE))</x:f>
      </x:c>
      <x:c r="L70" s="14" t="str">
        <x:f>IF(OR(J70="",COUNTIF('Rates'!$A$7:$A$106,J70)&lt;&gt;1),"",VLOOKUP(J70,'Rates'!$A$7:$M$106,5,FALSE))</x:f>
      </x:c>
      <x:c r="M70" s="15" t="str">
        <x:f>IF(OR(J70="",COUNTIF('Rates'!$A$7:$A$106,J70)&lt;&gt;1),"",IF(VLOOKUP(J70,'Rates'!$A$7:$M$106,13,FALSE)&lt;&gt;"","",VLOOKUP(J70,'Rates'!$A$7:$M$106,3,FALSE)))</x:f>
      </x:c>
      <x:c r="N70" s="15" t="str">
        <x:f>IF(OR(J70="",COUNTIF('Rates'!$A$7:$A$106,J70)&lt;&gt;1),"",VLOOKUP(J70,'Rates'!$A$7:$M$106,11,FALSE))</x:f>
      </x:c>
      <x:c r="O70" s="15" t="str">
        <x:f>IF(OR(A70="",P70&lt;&gt;""),"",G70*M70)</x:f>
      </x:c>
      <x:c r="P70" s="14" t="str">
        <x:f>IF(A70="","",IF(COUNTIF($A$7:$A$106,A70)&lt;&gt;1,"Duplicate line ID",IF(AND(I70&lt;&gt;"Measured",I70&lt;&gt;"Provisional"),"Unmeasured or invalid quantity basis",IF(NOT(ISNUMBER(G70)),"Missing numeric quantity",IF(H70="","Missing quantity unit",IF(J70="","Missing rate",IF(COUNTIF('Rates'!$A$7:$A$106,J70)&lt;&gt;1,"Missing or duplicate rate ID",IF(VLOOKUP(J70,'Rates'!$A$7:$M$106,13,FALSE)&lt;&gt;"",VLOOKUP(J70,'Rates'!$A$7:$M$106,13,FALSE),IF(H70&lt;&gt;K70,"Unit mismatch",IF('Summary'!$B$8="","Missing project currency",IF(L70&lt;&gt;'Summary'!$B$8,"Currency mismatch","")))))))))))</x:f>
      </x:c>
      <x:c r="Q70" s="16"/>
      <x:c r="R70" s="7"/>
      <x:c r="S70" s="7"/>
    </x:row>
    <x:row r="71" ht="26" customHeight="1">
      <x:c r="A71" s="16"/>
      <x:c r="B71" s="7"/>
      <x:c r="C71" s="7"/>
      <x:c r="D71" s="7"/>
      <x:c r="E71" s="7"/>
      <x:c r="F71" s="7"/>
      <x:c r="G71" s="10"/>
      <x:c r="H71" s="7"/>
      <x:c r="I71" s="7"/>
      <x:c r="J71" s="16"/>
      <x:c r="K71" s="14" t="str">
        <x:f>IF(OR(J71="",COUNTIF('Rates'!$A$7:$A$106,J71)&lt;&gt;1),"",VLOOKUP(J71,'Rates'!$A$7:$M$106,4,FALSE))</x:f>
      </x:c>
      <x:c r="L71" s="14" t="str">
        <x:f>IF(OR(J71="",COUNTIF('Rates'!$A$7:$A$106,J71)&lt;&gt;1),"",VLOOKUP(J71,'Rates'!$A$7:$M$106,5,FALSE))</x:f>
      </x:c>
      <x:c r="M71" s="15" t="str">
        <x:f>IF(OR(J71="",COUNTIF('Rates'!$A$7:$A$106,J71)&lt;&gt;1),"",IF(VLOOKUP(J71,'Rates'!$A$7:$M$106,13,FALSE)&lt;&gt;"","",VLOOKUP(J71,'Rates'!$A$7:$M$106,3,FALSE)))</x:f>
      </x:c>
      <x:c r="N71" s="15" t="str">
        <x:f>IF(OR(J71="",COUNTIF('Rates'!$A$7:$A$106,J71)&lt;&gt;1),"",VLOOKUP(J71,'Rates'!$A$7:$M$106,11,FALSE))</x:f>
      </x:c>
      <x:c r="O71" s="15" t="str">
        <x:f>IF(OR(A71="",P71&lt;&gt;""),"",G71*M71)</x:f>
      </x:c>
      <x:c r="P71" s="14" t="str">
        <x:f>IF(A71="","",IF(COUNTIF($A$7:$A$106,A71)&lt;&gt;1,"Duplicate line ID",IF(AND(I71&lt;&gt;"Measured",I71&lt;&gt;"Provisional"),"Unmeasured or invalid quantity basis",IF(NOT(ISNUMBER(G71)),"Missing numeric quantity",IF(H71="","Missing quantity unit",IF(J71="","Missing rate",IF(COUNTIF('Rates'!$A$7:$A$106,J71)&lt;&gt;1,"Missing or duplicate rate ID",IF(VLOOKUP(J71,'Rates'!$A$7:$M$106,13,FALSE)&lt;&gt;"",VLOOKUP(J71,'Rates'!$A$7:$M$106,13,FALSE),IF(H71&lt;&gt;K71,"Unit mismatch",IF('Summary'!$B$8="","Missing project currency",IF(L71&lt;&gt;'Summary'!$B$8,"Currency mismatch","")))))))))))</x:f>
      </x:c>
      <x:c r="Q71" s="16"/>
      <x:c r="R71" s="7"/>
      <x:c r="S71" s="7"/>
    </x:row>
    <x:row r="72" ht="26" customHeight="1">
      <x:c r="A72" s="16"/>
      <x:c r="B72" s="7"/>
      <x:c r="C72" s="7"/>
      <x:c r="D72" s="7"/>
      <x:c r="E72" s="7"/>
      <x:c r="F72" s="7"/>
      <x:c r="G72" s="10"/>
      <x:c r="H72" s="7"/>
      <x:c r="I72" s="7"/>
      <x:c r="J72" s="16"/>
      <x:c r="K72" s="14" t="str">
        <x:f>IF(OR(J72="",COUNTIF('Rates'!$A$7:$A$106,J72)&lt;&gt;1),"",VLOOKUP(J72,'Rates'!$A$7:$M$106,4,FALSE))</x:f>
      </x:c>
      <x:c r="L72" s="14" t="str">
        <x:f>IF(OR(J72="",COUNTIF('Rates'!$A$7:$A$106,J72)&lt;&gt;1),"",VLOOKUP(J72,'Rates'!$A$7:$M$106,5,FALSE))</x:f>
      </x:c>
      <x:c r="M72" s="15" t="str">
        <x:f>IF(OR(J72="",COUNTIF('Rates'!$A$7:$A$106,J72)&lt;&gt;1),"",IF(VLOOKUP(J72,'Rates'!$A$7:$M$106,13,FALSE)&lt;&gt;"","",VLOOKUP(J72,'Rates'!$A$7:$M$106,3,FALSE)))</x:f>
      </x:c>
      <x:c r="N72" s="15" t="str">
        <x:f>IF(OR(J72="",COUNTIF('Rates'!$A$7:$A$106,J72)&lt;&gt;1),"",VLOOKUP(J72,'Rates'!$A$7:$M$106,11,FALSE))</x:f>
      </x:c>
      <x:c r="O72" s="15" t="str">
        <x:f>IF(OR(A72="",P72&lt;&gt;""),"",G72*M72)</x:f>
      </x:c>
      <x:c r="P72" s="14" t="str">
        <x:f>IF(A72="","",IF(COUNTIF($A$7:$A$106,A72)&lt;&gt;1,"Duplicate line ID",IF(AND(I72&lt;&gt;"Measured",I72&lt;&gt;"Provisional"),"Unmeasured or invalid quantity basis",IF(NOT(ISNUMBER(G72)),"Missing numeric quantity",IF(H72="","Missing quantity unit",IF(J72="","Missing rate",IF(COUNTIF('Rates'!$A$7:$A$106,J72)&lt;&gt;1,"Missing or duplicate rate ID",IF(VLOOKUP(J72,'Rates'!$A$7:$M$106,13,FALSE)&lt;&gt;"",VLOOKUP(J72,'Rates'!$A$7:$M$106,13,FALSE),IF(H72&lt;&gt;K72,"Unit mismatch",IF('Summary'!$B$8="","Missing project currency",IF(L72&lt;&gt;'Summary'!$B$8,"Currency mismatch","")))))))))))</x:f>
      </x:c>
      <x:c r="Q72" s="16"/>
      <x:c r="R72" s="7"/>
      <x:c r="S72" s="7"/>
    </x:row>
    <x:row r="73" ht="26" customHeight="1">
      <x:c r="A73" s="16"/>
      <x:c r="B73" s="7"/>
      <x:c r="C73" s="7"/>
      <x:c r="D73" s="7"/>
      <x:c r="E73" s="7"/>
      <x:c r="F73" s="7"/>
      <x:c r="G73" s="10"/>
      <x:c r="H73" s="7"/>
      <x:c r="I73" s="7"/>
      <x:c r="J73" s="16"/>
      <x:c r="K73" s="14" t="str">
        <x:f>IF(OR(J73="",COUNTIF('Rates'!$A$7:$A$106,J73)&lt;&gt;1),"",VLOOKUP(J73,'Rates'!$A$7:$M$106,4,FALSE))</x:f>
      </x:c>
      <x:c r="L73" s="14" t="str">
        <x:f>IF(OR(J73="",COUNTIF('Rates'!$A$7:$A$106,J73)&lt;&gt;1),"",VLOOKUP(J73,'Rates'!$A$7:$M$106,5,FALSE))</x:f>
      </x:c>
      <x:c r="M73" s="15" t="str">
        <x:f>IF(OR(J73="",COUNTIF('Rates'!$A$7:$A$106,J73)&lt;&gt;1),"",IF(VLOOKUP(J73,'Rates'!$A$7:$M$106,13,FALSE)&lt;&gt;"","",VLOOKUP(J73,'Rates'!$A$7:$M$106,3,FALSE)))</x:f>
      </x:c>
      <x:c r="N73" s="15" t="str">
        <x:f>IF(OR(J73="",COUNTIF('Rates'!$A$7:$A$106,J73)&lt;&gt;1),"",VLOOKUP(J73,'Rates'!$A$7:$M$106,11,FALSE))</x:f>
      </x:c>
      <x:c r="O73" s="15" t="str">
        <x:f>IF(OR(A73="",P73&lt;&gt;""),"",G73*M73)</x:f>
      </x:c>
      <x:c r="P73" s="14" t="str">
        <x:f>IF(A73="","",IF(COUNTIF($A$7:$A$106,A73)&lt;&gt;1,"Duplicate line ID",IF(AND(I73&lt;&gt;"Measured",I73&lt;&gt;"Provisional"),"Unmeasured or invalid quantity basis",IF(NOT(ISNUMBER(G73)),"Missing numeric quantity",IF(H73="","Missing quantity unit",IF(J73="","Missing rate",IF(COUNTIF('Rates'!$A$7:$A$106,J73)&lt;&gt;1,"Missing or duplicate rate ID",IF(VLOOKUP(J73,'Rates'!$A$7:$M$106,13,FALSE)&lt;&gt;"",VLOOKUP(J73,'Rates'!$A$7:$M$106,13,FALSE),IF(H73&lt;&gt;K73,"Unit mismatch",IF('Summary'!$B$8="","Missing project currency",IF(L73&lt;&gt;'Summary'!$B$8,"Currency mismatch","")))))))))))</x:f>
      </x:c>
      <x:c r="Q73" s="16"/>
      <x:c r="R73" s="7"/>
      <x:c r="S73" s="7"/>
    </x:row>
    <x:row r="74" ht="26" customHeight="1">
      <x:c r="A74" s="16"/>
      <x:c r="B74" s="7"/>
      <x:c r="C74" s="7"/>
      <x:c r="D74" s="7"/>
      <x:c r="E74" s="7"/>
      <x:c r="F74" s="7"/>
      <x:c r="G74" s="10"/>
      <x:c r="H74" s="7"/>
      <x:c r="I74" s="7"/>
      <x:c r="J74" s="16"/>
      <x:c r="K74" s="14" t="str">
        <x:f>IF(OR(J74="",COUNTIF('Rates'!$A$7:$A$106,J74)&lt;&gt;1),"",VLOOKUP(J74,'Rates'!$A$7:$M$106,4,FALSE))</x:f>
      </x:c>
      <x:c r="L74" s="14" t="str">
        <x:f>IF(OR(J74="",COUNTIF('Rates'!$A$7:$A$106,J74)&lt;&gt;1),"",VLOOKUP(J74,'Rates'!$A$7:$M$106,5,FALSE))</x:f>
      </x:c>
      <x:c r="M74" s="15" t="str">
        <x:f>IF(OR(J74="",COUNTIF('Rates'!$A$7:$A$106,J74)&lt;&gt;1),"",IF(VLOOKUP(J74,'Rates'!$A$7:$M$106,13,FALSE)&lt;&gt;"","",VLOOKUP(J74,'Rates'!$A$7:$M$106,3,FALSE)))</x:f>
      </x:c>
      <x:c r="N74" s="15" t="str">
        <x:f>IF(OR(J74="",COUNTIF('Rates'!$A$7:$A$106,J74)&lt;&gt;1),"",VLOOKUP(J74,'Rates'!$A$7:$M$106,11,FALSE))</x:f>
      </x:c>
      <x:c r="O74" s="15" t="str">
        <x:f>IF(OR(A74="",P74&lt;&gt;""),"",G74*M74)</x:f>
      </x:c>
      <x:c r="P74" s="14" t="str">
        <x:f>IF(A74="","",IF(COUNTIF($A$7:$A$106,A74)&lt;&gt;1,"Duplicate line ID",IF(AND(I74&lt;&gt;"Measured",I74&lt;&gt;"Provisional"),"Unmeasured or invalid quantity basis",IF(NOT(ISNUMBER(G74)),"Missing numeric quantity",IF(H74="","Missing quantity unit",IF(J74="","Missing rate",IF(COUNTIF('Rates'!$A$7:$A$106,J74)&lt;&gt;1,"Missing or duplicate rate ID",IF(VLOOKUP(J74,'Rates'!$A$7:$M$106,13,FALSE)&lt;&gt;"",VLOOKUP(J74,'Rates'!$A$7:$M$106,13,FALSE),IF(H74&lt;&gt;K74,"Unit mismatch",IF('Summary'!$B$8="","Missing project currency",IF(L74&lt;&gt;'Summary'!$B$8,"Currency mismatch","")))))))))))</x:f>
      </x:c>
      <x:c r="Q74" s="16"/>
      <x:c r="R74" s="7"/>
      <x:c r="S74" s="7"/>
    </x:row>
    <x:row r="75" ht="26" customHeight="1">
      <x:c r="A75" s="16"/>
      <x:c r="B75" s="7"/>
      <x:c r="C75" s="7"/>
      <x:c r="D75" s="7"/>
      <x:c r="E75" s="7"/>
      <x:c r="F75" s="7"/>
      <x:c r="G75" s="10"/>
      <x:c r="H75" s="7"/>
      <x:c r="I75" s="7"/>
      <x:c r="J75" s="16"/>
      <x:c r="K75" s="14" t="str">
        <x:f>IF(OR(J75="",COUNTIF('Rates'!$A$7:$A$106,J75)&lt;&gt;1),"",VLOOKUP(J75,'Rates'!$A$7:$M$106,4,FALSE))</x:f>
      </x:c>
      <x:c r="L75" s="14" t="str">
        <x:f>IF(OR(J75="",COUNTIF('Rates'!$A$7:$A$106,J75)&lt;&gt;1),"",VLOOKUP(J75,'Rates'!$A$7:$M$106,5,FALSE))</x:f>
      </x:c>
      <x:c r="M75" s="15" t="str">
        <x:f>IF(OR(J75="",COUNTIF('Rates'!$A$7:$A$106,J75)&lt;&gt;1),"",IF(VLOOKUP(J75,'Rates'!$A$7:$M$106,13,FALSE)&lt;&gt;"","",VLOOKUP(J75,'Rates'!$A$7:$M$106,3,FALSE)))</x:f>
      </x:c>
      <x:c r="N75" s="15" t="str">
        <x:f>IF(OR(J75="",COUNTIF('Rates'!$A$7:$A$106,J75)&lt;&gt;1),"",VLOOKUP(J75,'Rates'!$A$7:$M$106,11,FALSE))</x:f>
      </x:c>
      <x:c r="O75" s="15" t="str">
        <x:f>IF(OR(A75="",P75&lt;&gt;""),"",G75*M75)</x:f>
      </x:c>
      <x:c r="P75" s="14" t="str">
        <x:f>IF(A75="","",IF(COUNTIF($A$7:$A$106,A75)&lt;&gt;1,"Duplicate line ID",IF(AND(I75&lt;&gt;"Measured",I75&lt;&gt;"Provisional"),"Unmeasured or invalid quantity basis",IF(NOT(ISNUMBER(G75)),"Missing numeric quantity",IF(H75="","Missing quantity unit",IF(J75="","Missing rate",IF(COUNTIF('Rates'!$A$7:$A$106,J75)&lt;&gt;1,"Missing or duplicate rate ID",IF(VLOOKUP(J75,'Rates'!$A$7:$M$106,13,FALSE)&lt;&gt;"",VLOOKUP(J75,'Rates'!$A$7:$M$106,13,FALSE),IF(H75&lt;&gt;K75,"Unit mismatch",IF('Summary'!$B$8="","Missing project currency",IF(L75&lt;&gt;'Summary'!$B$8,"Currency mismatch","")))))))))))</x:f>
      </x:c>
      <x:c r="Q75" s="16"/>
      <x:c r="R75" s="7"/>
      <x:c r="S75" s="7"/>
    </x:row>
    <x:row r="76" ht="26" customHeight="1">
      <x:c r="A76" s="16"/>
      <x:c r="B76" s="7"/>
      <x:c r="C76" s="7"/>
      <x:c r="D76" s="7"/>
      <x:c r="E76" s="7"/>
      <x:c r="F76" s="7"/>
      <x:c r="G76" s="10"/>
      <x:c r="H76" s="7"/>
      <x:c r="I76" s="7"/>
      <x:c r="J76" s="16"/>
      <x:c r="K76" s="14" t="str">
        <x:f>IF(OR(J76="",COUNTIF('Rates'!$A$7:$A$106,J76)&lt;&gt;1),"",VLOOKUP(J76,'Rates'!$A$7:$M$106,4,FALSE))</x:f>
      </x:c>
      <x:c r="L76" s="14" t="str">
        <x:f>IF(OR(J76="",COUNTIF('Rates'!$A$7:$A$106,J76)&lt;&gt;1),"",VLOOKUP(J76,'Rates'!$A$7:$M$106,5,FALSE))</x:f>
      </x:c>
      <x:c r="M76" s="15" t="str">
        <x:f>IF(OR(J76="",COUNTIF('Rates'!$A$7:$A$106,J76)&lt;&gt;1),"",IF(VLOOKUP(J76,'Rates'!$A$7:$M$106,13,FALSE)&lt;&gt;"","",VLOOKUP(J76,'Rates'!$A$7:$M$106,3,FALSE)))</x:f>
      </x:c>
      <x:c r="N76" s="15" t="str">
        <x:f>IF(OR(J76="",COUNTIF('Rates'!$A$7:$A$106,J76)&lt;&gt;1),"",VLOOKUP(J76,'Rates'!$A$7:$M$106,11,FALSE))</x:f>
      </x:c>
      <x:c r="O76" s="15" t="str">
        <x:f>IF(OR(A76="",P76&lt;&gt;""),"",G76*M76)</x:f>
      </x:c>
      <x:c r="P76" s="14" t="str">
        <x:f>IF(A76="","",IF(COUNTIF($A$7:$A$106,A76)&lt;&gt;1,"Duplicate line ID",IF(AND(I76&lt;&gt;"Measured",I76&lt;&gt;"Provisional"),"Unmeasured or invalid quantity basis",IF(NOT(ISNUMBER(G76)),"Missing numeric quantity",IF(H76="","Missing quantity unit",IF(J76="","Missing rate",IF(COUNTIF('Rates'!$A$7:$A$106,J76)&lt;&gt;1,"Missing or duplicate rate ID",IF(VLOOKUP(J76,'Rates'!$A$7:$M$106,13,FALSE)&lt;&gt;"",VLOOKUP(J76,'Rates'!$A$7:$M$106,13,FALSE),IF(H76&lt;&gt;K76,"Unit mismatch",IF('Summary'!$B$8="","Missing project currency",IF(L76&lt;&gt;'Summary'!$B$8,"Currency mismatch","")))))))))))</x:f>
      </x:c>
      <x:c r="Q76" s="16"/>
      <x:c r="R76" s="7"/>
      <x:c r="S76" s="7"/>
    </x:row>
    <x:row r="77" ht="26" customHeight="1">
      <x:c r="A77" s="16"/>
      <x:c r="B77" s="7"/>
      <x:c r="C77" s="7"/>
      <x:c r="D77" s="7"/>
      <x:c r="E77" s="7"/>
      <x:c r="F77" s="7"/>
      <x:c r="G77" s="10"/>
      <x:c r="H77" s="7"/>
      <x:c r="I77" s="7"/>
      <x:c r="J77" s="16"/>
      <x:c r="K77" s="14" t="str">
        <x:f>IF(OR(J77="",COUNTIF('Rates'!$A$7:$A$106,J77)&lt;&gt;1),"",VLOOKUP(J77,'Rates'!$A$7:$M$106,4,FALSE))</x:f>
      </x:c>
      <x:c r="L77" s="14" t="str">
        <x:f>IF(OR(J77="",COUNTIF('Rates'!$A$7:$A$106,J77)&lt;&gt;1),"",VLOOKUP(J77,'Rates'!$A$7:$M$106,5,FALSE))</x:f>
      </x:c>
      <x:c r="M77" s="15" t="str">
        <x:f>IF(OR(J77="",COUNTIF('Rates'!$A$7:$A$106,J77)&lt;&gt;1),"",IF(VLOOKUP(J77,'Rates'!$A$7:$M$106,13,FALSE)&lt;&gt;"","",VLOOKUP(J77,'Rates'!$A$7:$M$106,3,FALSE)))</x:f>
      </x:c>
      <x:c r="N77" s="15" t="str">
        <x:f>IF(OR(J77="",COUNTIF('Rates'!$A$7:$A$106,J77)&lt;&gt;1),"",VLOOKUP(J77,'Rates'!$A$7:$M$106,11,FALSE))</x:f>
      </x:c>
      <x:c r="O77" s="15" t="str">
        <x:f>IF(OR(A77="",P77&lt;&gt;""),"",G77*M77)</x:f>
      </x:c>
      <x:c r="P77" s="14" t="str">
        <x:f>IF(A77="","",IF(COUNTIF($A$7:$A$106,A77)&lt;&gt;1,"Duplicate line ID",IF(AND(I77&lt;&gt;"Measured",I77&lt;&gt;"Provisional"),"Unmeasured or invalid quantity basis",IF(NOT(ISNUMBER(G77)),"Missing numeric quantity",IF(H77="","Missing quantity unit",IF(J77="","Missing rate",IF(COUNTIF('Rates'!$A$7:$A$106,J77)&lt;&gt;1,"Missing or duplicate rate ID",IF(VLOOKUP(J77,'Rates'!$A$7:$M$106,13,FALSE)&lt;&gt;"",VLOOKUP(J77,'Rates'!$A$7:$M$106,13,FALSE),IF(H77&lt;&gt;K77,"Unit mismatch",IF('Summary'!$B$8="","Missing project currency",IF(L77&lt;&gt;'Summary'!$B$8,"Currency mismatch","")))))))))))</x:f>
      </x:c>
      <x:c r="Q77" s="16"/>
      <x:c r="R77" s="7"/>
      <x:c r="S77" s="7"/>
    </x:row>
    <x:row r="78" ht="26" customHeight="1">
      <x:c r="A78" s="16"/>
      <x:c r="B78" s="7"/>
      <x:c r="C78" s="7"/>
      <x:c r="D78" s="7"/>
      <x:c r="E78" s="7"/>
      <x:c r="F78" s="7"/>
      <x:c r="G78" s="10"/>
      <x:c r="H78" s="7"/>
      <x:c r="I78" s="7"/>
      <x:c r="J78" s="16"/>
      <x:c r="K78" s="14" t="str">
        <x:f>IF(OR(J78="",COUNTIF('Rates'!$A$7:$A$106,J78)&lt;&gt;1),"",VLOOKUP(J78,'Rates'!$A$7:$M$106,4,FALSE))</x:f>
      </x:c>
      <x:c r="L78" s="14" t="str">
        <x:f>IF(OR(J78="",COUNTIF('Rates'!$A$7:$A$106,J78)&lt;&gt;1),"",VLOOKUP(J78,'Rates'!$A$7:$M$106,5,FALSE))</x:f>
      </x:c>
      <x:c r="M78" s="15" t="str">
        <x:f>IF(OR(J78="",COUNTIF('Rates'!$A$7:$A$106,J78)&lt;&gt;1),"",IF(VLOOKUP(J78,'Rates'!$A$7:$M$106,13,FALSE)&lt;&gt;"","",VLOOKUP(J78,'Rates'!$A$7:$M$106,3,FALSE)))</x:f>
      </x:c>
      <x:c r="N78" s="15" t="str">
        <x:f>IF(OR(J78="",COUNTIF('Rates'!$A$7:$A$106,J78)&lt;&gt;1),"",VLOOKUP(J78,'Rates'!$A$7:$M$106,11,FALSE))</x:f>
      </x:c>
      <x:c r="O78" s="15" t="str">
        <x:f>IF(OR(A78="",P78&lt;&gt;""),"",G78*M78)</x:f>
      </x:c>
      <x:c r="P78" s="14" t="str">
        <x:f>IF(A78="","",IF(COUNTIF($A$7:$A$106,A78)&lt;&gt;1,"Duplicate line ID",IF(AND(I78&lt;&gt;"Measured",I78&lt;&gt;"Provisional"),"Unmeasured or invalid quantity basis",IF(NOT(ISNUMBER(G78)),"Missing numeric quantity",IF(H78="","Missing quantity unit",IF(J78="","Missing rate",IF(COUNTIF('Rates'!$A$7:$A$106,J78)&lt;&gt;1,"Missing or duplicate rate ID",IF(VLOOKUP(J78,'Rates'!$A$7:$M$106,13,FALSE)&lt;&gt;"",VLOOKUP(J78,'Rates'!$A$7:$M$106,13,FALSE),IF(H78&lt;&gt;K78,"Unit mismatch",IF('Summary'!$B$8="","Missing project currency",IF(L78&lt;&gt;'Summary'!$B$8,"Currency mismatch","")))))))))))</x:f>
      </x:c>
      <x:c r="Q78" s="16"/>
      <x:c r="R78" s="7"/>
      <x:c r="S78" s="7"/>
    </x:row>
    <x:row r="79" ht="26" customHeight="1">
      <x:c r="A79" s="16"/>
      <x:c r="B79" s="7"/>
      <x:c r="C79" s="7"/>
      <x:c r="D79" s="7"/>
      <x:c r="E79" s="7"/>
      <x:c r="F79" s="7"/>
      <x:c r="G79" s="10"/>
      <x:c r="H79" s="7"/>
      <x:c r="I79" s="7"/>
      <x:c r="J79" s="16"/>
      <x:c r="K79" s="14" t="str">
        <x:f>IF(OR(J79="",COUNTIF('Rates'!$A$7:$A$106,J79)&lt;&gt;1),"",VLOOKUP(J79,'Rates'!$A$7:$M$106,4,FALSE))</x:f>
      </x:c>
      <x:c r="L79" s="14" t="str">
        <x:f>IF(OR(J79="",COUNTIF('Rates'!$A$7:$A$106,J79)&lt;&gt;1),"",VLOOKUP(J79,'Rates'!$A$7:$M$106,5,FALSE))</x:f>
      </x:c>
      <x:c r="M79" s="15" t="str">
        <x:f>IF(OR(J79="",COUNTIF('Rates'!$A$7:$A$106,J79)&lt;&gt;1),"",IF(VLOOKUP(J79,'Rates'!$A$7:$M$106,13,FALSE)&lt;&gt;"","",VLOOKUP(J79,'Rates'!$A$7:$M$106,3,FALSE)))</x:f>
      </x:c>
      <x:c r="N79" s="15" t="str">
        <x:f>IF(OR(J79="",COUNTIF('Rates'!$A$7:$A$106,J79)&lt;&gt;1),"",VLOOKUP(J79,'Rates'!$A$7:$M$106,11,FALSE))</x:f>
      </x:c>
      <x:c r="O79" s="15" t="str">
        <x:f>IF(OR(A79="",P79&lt;&gt;""),"",G79*M79)</x:f>
      </x:c>
      <x:c r="P79" s="14" t="str">
        <x:f>IF(A79="","",IF(COUNTIF($A$7:$A$106,A79)&lt;&gt;1,"Duplicate line ID",IF(AND(I79&lt;&gt;"Measured",I79&lt;&gt;"Provisional"),"Unmeasured or invalid quantity basis",IF(NOT(ISNUMBER(G79)),"Missing numeric quantity",IF(H79="","Missing quantity unit",IF(J79="","Missing rate",IF(COUNTIF('Rates'!$A$7:$A$106,J79)&lt;&gt;1,"Missing or duplicate rate ID",IF(VLOOKUP(J79,'Rates'!$A$7:$M$106,13,FALSE)&lt;&gt;"",VLOOKUP(J79,'Rates'!$A$7:$M$106,13,FALSE),IF(H79&lt;&gt;K79,"Unit mismatch",IF('Summary'!$B$8="","Missing project currency",IF(L79&lt;&gt;'Summary'!$B$8,"Currency mismatch","")))))))))))</x:f>
      </x:c>
      <x:c r="Q79" s="16"/>
      <x:c r="R79" s="7"/>
      <x:c r="S79" s="7"/>
    </x:row>
    <x:row r="80" ht="26" customHeight="1">
      <x:c r="A80" s="16"/>
      <x:c r="B80" s="7"/>
      <x:c r="C80" s="7"/>
      <x:c r="D80" s="7"/>
      <x:c r="E80" s="7"/>
      <x:c r="F80" s="7"/>
      <x:c r="G80" s="10"/>
      <x:c r="H80" s="7"/>
      <x:c r="I80" s="7"/>
      <x:c r="J80" s="16"/>
      <x:c r="K80" s="14" t="str">
        <x:f>IF(OR(J80="",COUNTIF('Rates'!$A$7:$A$106,J80)&lt;&gt;1),"",VLOOKUP(J80,'Rates'!$A$7:$M$106,4,FALSE))</x:f>
      </x:c>
      <x:c r="L80" s="14" t="str">
        <x:f>IF(OR(J80="",COUNTIF('Rates'!$A$7:$A$106,J80)&lt;&gt;1),"",VLOOKUP(J80,'Rates'!$A$7:$M$106,5,FALSE))</x:f>
      </x:c>
      <x:c r="M80" s="15" t="str">
        <x:f>IF(OR(J80="",COUNTIF('Rates'!$A$7:$A$106,J80)&lt;&gt;1),"",IF(VLOOKUP(J80,'Rates'!$A$7:$M$106,13,FALSE)&lt;&gt;"","",VLOOKUP(J80,'Rates'!$A$7:$M$106,3,FALSE)))</x:f>
      </x:c>
      <x:c r="N80" s="15" t="str">
        <x:f>IF(OR(J80="",COUNTIF('Rates'!$A$7:$A$106,J80)&lt;&gt;1),"",VLOOKUP(J80,'Rates'!$A$7:$M$106,11,FALSE))</x:f>
      </x:c>
      <x:c r="O80" s="15" t="str">
        <x:f>IF(OR(A80="",P80&lt;&gt;""),"",G80*M80)</x:f>
      </x:c>
      <x:c r="P80" s="14" t="str">
        <x:f>IF(A80="","",IF(COUNTIF($A$7:$A$106,A80)&lt;&gt;1,"Duplicate line ID",IF(AND(I80&lt;&gt;"Measured",I80&lt;&gt;"Provisional"),"Unmeasured or invalid quantity basis",IF(NOT(ISNUMBER(G80)),"Missing numeric quantity",IF(H80="","Missing quantity unit",IF(J80="","Missing rate",IF(COUNTIF('Rates'!$A$7:$A$106,J80)&lt;&gt;1,"Missing or duplicate rate ID",IF(VLOOKUP(J80,'Rates'!$A$7:$M$106,13,FALSE)&lt;&gt;"",VLOOKUP(J80,'Rates'!$A$7:$M$106,13,FALSE),IF(H80&lt;&gt;K80,"Unit mismatch",IF('Summary'!$B$8="","Missing project currency",IF(L80&lt;&gt;'Summary'!$B$8,"Currency mismatch","")))))))))))</x:f>
      </x:c>
      <x:c r="Q80" s="16"/>
      <x:c r="R80" s="7"/>
      <x:c r="S80" s="7"/>
    </x:row>
    <x:row r="81" ht="26" customHeight="1">
      <x:c r="A81" s="16"/>
      <x:c r="B81" s="7"/>
      <x:c r="C81" s="7"/>
      <x:c r="D81" s="7"/>
      <x:c r="E81" s="7"/>
      <x:c r="F81" s="7"/>
      <x:c r="G81" s="10"/>
      <x:c r="H81" s="7"/>
      <x:c r="I81" s="7"/>
      <x:c r="J81" s="16"/>
      <x:c r="K81" s="14" t="str">
        <x:f>IF(OR(J81="",COUNTIF('Rates'!$A$7:$A$106,J81)&lt;&gt;1),"",VLOOKUP(J81,'Rates'!$A$7:$M$106,4,FALSE))</x:f>
      </x:c>
      <x:c r="L81" s="14" t="str">
        <x:f>IF(OR(J81="",COUNTIF('Rates'!$A$7:$A$106,J81)&lt;&gt;1),"",VLOOKUP(J81,'Rates'!$A$7:$M$106,5,FALSE))</x:f>
      </x:c>
      <x:c r="M81" s="15" t="str">
        <x:f>IF(OR(J81="",COUNTIF('Rates'!$A$7:$A$106,J81)&lt;&gt;1),"",IF(VLOOKUP(J81,'Rates'!$A$7:$M$106,13,FALSE)&lt;&gt;"","",VLOOKUP(J81,'Rates'!$A$7:$M$106,3,FALSE)))</x:f>
      </x:c>
      <x:c r="N81" s="15" t="str">
        <x:f>IF(OR(J81="",COUNTIF('Rates'!$A$7:$A$106,J81)&lt;&gt;1),"",VLOOKUP(J81,'Rates'!$A$7:$M$106,11,FALSE))</x:f>
      </x:c>
      <x:c r="O81" s="15" t="str">
        <x:f>IF(OR(A81="",P81&lt;&gt;""),"",G81*M81)</x:f>
      </x:c>
      <x:c r="P81" s="14" t="str">
        <x:f>IF(A81="","",IF(COUNTIF($A$7:$A$106,A81)&lt;&gt;1,"Duplicate line ID",IF(AND(I81&lt;&gt;"Measured",I81&lt;&gt;"Provisional"),"Unmeasured or invalid quantity basis",IF(NOT(ISNUMBER(G81)),"Missing numeric quantity",IF(H81="","Missing quantity unit",IF(J81="","Missing rate",IF(COUNTIF('Rates'!$A$7:$A$106,J81)&lt;&gt;1,"Missing or duplicate rate ID",IF(VLOOKUP(J81,'Rates'!$A$7:$M$106,13,FALSE)&lt;&gt;"",VLOOKUP(J81,'Rates'!$A$7:$M$106,13,FALSE),IF(H81&lt;&gt;K81,"Unit mismatch",IF('Summary'!$B$8="","Missing project currency",IF(L81&lt;&gt;'Summary'!$B$8,"Currency mismatch","")))))))))))</x:f>
      </x:c>
      <x:c r="Q81" s="16"/>
      <x:c r="R81" s="7"/>
      <x:c r="S81" s="7"/>
    </x:row>
    <x:row r="82" ht="26" customHeight="1">
      <x:c r="A82" s="16"/>
      <x:c r="B82" s="7"/>
      <x:c r="C82" s="7"/>
      <x:c r="D82" s="7"/>
      <x:c r="E82" s="7"/>
      <x:c r="F82" s="7"/>
      <x:c r="G82" s="10"/>
      <x:c r="H82" s="7"/>
      <x:c r="I82" s="7"/>
      <x:c r="J82" s="16"/>
      <x:c r="K82" s="14" t="str">
        <x:f>IF(OR(J82="",COUNTIF('Rates'!$A$7:$A$106,J82)&lt;&gt;1),"",VLOOKUP(J82,'Rates'!$A$7:$M$106,4,FALSE))</x:f>
      </x:c>
      <x:c r="L82" s="14" t="str">
        <x:f>IF(OR(J82="",COUNTIF('Rates'!$A$7:$A$106,J82)&lt;&gt;1),"",VLOOKUP(J82,'Rates'!$A$7:$M$106,5,FALSE))</x:f>
      </x:c>
      <x:c r="M82" s="15" t="str">
        <x:f>IF(OR(J82="",COUNTIF('Rates'!$A$7:$A$106,J82)&lt;&gt;1),"",IF(VLOOKUP(J82,'Rates'!$A$7:$M$106,13,FALSE)&lt;&gt;"","",VLOOKUP(J82,'Rates'!$A$7:$M$106,3,FALSE)))</x:f>
      </x:c>
      <x:c r="N82" s="15" t="str">
        <x:f>IF(OR(J82="",COUNTIF('Rates'!$A$7:$A$106,J82)&lt;&gt;1),"",VLOOKUP(J82,'Rates'!$A$7:$M$106,11,FALSE))</x:f>
      </x:c>
      <x:c r="O82" s="15" t="str">
        <x:f>IF(OR(A82="",P82&lt;&gt;""),"",G82*M82)</x:f>
      </x:c>
      <x:c r="P82" s="14" t="str">
        <x:f>IF(A82="","",IF(COUNTIF($A$7:$A$106,A82)&lt;&gt;1,"Duplicate line ID",IF(AND(I82&lt;&gt;"Measured",I82&lt;&gt;"Provisional"),"Unmeasured or invalid quantity basis",IF(NOT(ISNUMBER(G82)),"Missing numeric quantity",IF(H82="","Missing quantity unit",IF(J82="","Missing rate",IF(COUNTIF('Rates'!$A$7:$A$106,J82)&lt;&gt;1,"Missing or duplicate rate ID",IF(VLOOKUP(J82,'Rates'!$A$7:$M$106,13,FALSE)&lt;&gt;"",VLOOKUP(J82,'Rates'!$A$7:$M$106,13,FALSE),IF(H82&lt;&gt;K82,"Unit mismatch",IF('Summary'!$B$8="","Missing project currency",IF(L82&lt;&gt;'Summary'!$B$8,"Currency mismatch","")))))))))))</x:f>
      </x:c>
      <x:c r="Q82" s="16"/>
      <x:c r="R82" s="7"/>
      <x:c r="S82" s="7"/>
    </x:row>
    <x:row r="83" ht="26" customHeight="1">
      <x:c r="A83" s="16"/>
      <x:c r="B83" s="7"/>
      <x:c r="C83" s="7"/>
      <x:c r="D83" s="7"/>
      <x:c r="E83" s="7"/>
      <x:c r="F83" s="7"/>
      <x:c r="G83" s="10"/>
      <x:c r="H83" s="7"/>
      <x:c r="I83" s="7"/>
      <x:c r="J83" s="16"/>
      <x:c r="K83" s="14" t="str">
        <x:f>IF(OR(J83="",COUNTIF('Rates'!$A$7:$A$106,J83)&lt;&gt;1),"",VLOOKUP(J83,'Rates'!$A$7:$M$106,4,FALSE))</x:f>
      </x:c>
      <x:c r="L83" s="14" t="str">
        <x:f>IF(OR(J83="",COUNTIF('Rates'!$A$7:$A$106,J83)&lt;&gt;1),"",VLOOKUP(J83,'Rates'!$A$7:$M$106,5,FALSE))</x:f>
      </x:c>
      <x:c r="M83" s="15" t="str">
        <x:f>IF(OR(J83="",COUNTIF('Rates'!$A$7:$A$106,J83)&lt;&gt;1),"",IF(VLOOKUP(J83,'Rates'!$A$7:$M$106,13,FALSE)&lt;&gt;"","",VLOOKUP(J83,'Rates'!$A$7:$M$106,3,FALSE)))</x:f>
      </x:c>
      <x:c r="N83" s="15" t="str">
        <x:f>IF(OR(J83="",COUNTIF('Rates'!$A$7:$A$106,J83)&lt;&gt;1),"",VLOOKUP(J83,'Rates'!$A$7:$M$106,11,FALSE))</x:f>
      </x:c>
      <x:c r="O83" s="15" t="str">
        <x:f>IF(OR(A83="",P83&lt;&gt;""),"",G83*M83)</x:f>
      </x:c>
      <x:c r="P83" s="14" t="str">
        <x:f>IF(A83="","",IF(COUNTIF($A$7:$A$106,A83)&lt;&gt;1,"Duplicate line ID",IF(AND(I83&lt;&gt;"Measured",I83&lt;&gt;"Provisional"),"Unmeasured or invalid quantity basis",IF(NOT(ISNUMBER(G83)),"Missing numeric quantity",IF(H83="","Missing quantity unit",IF(J83="","Missing rate",IF(COUNTIF('Rates'!$A$7:$A$106,J83)&lt;&gt;1,"Missing or duplicate rate ID",IF(VLOOKUP(J83,'Rates'!$A$7:$M$106,13,FALSE)&lt;&gt;"",VLOOKUP(J83,'Rates'!$A$7:$M$106,13,FALSE),IF(H83&lt;&gt;K83,"Unit mismatch",IF('Summary'!$B$8="","Missing project currency",IF(L83&lt;&gt;'Summary'!$B$8,"Currency mismatch","")))))))))))</x:f>
      </x:c>
      <x:c r="Q83" s="16"/>
      <x:c r="R83" s="7"/>
      <x:c r="S83" s="7"/>
    </x:row>
    <x:row r="84" ht="26" customHeight="1">
      <x:c r="A84" s="16"/>
      <x:c r="B84" s="7"/>
      <x:c r="C84" s="7"/>
      <x:c r="D84" s="7"/>
      <x:c r="E84" s="7"/>
      <x:c r="F84" s="7"/>
      <x:c r="G84" s="10"/>
      <x:c r="H84" s="7"/>
      <x:c r="I84" s="7"/>
      <x:c r="J84" s="16"/>
      <x:c r="K84" s="14" t="str">
        <x:f>IF(OR(J84="",COUNTIF('Rates'!$A$7:$A$106,J84)&lt;&gt;1),"",VLOOKUP(J84,'Rates'!$A$7:$M$106,4,FALSE))</x:f>
      </x:c>
      <x:c r="L84" s="14" t="str">
        <x:f>IF(OR(J84="",COUNTIF('Rates'!$A$7:$A$106,J84)&lt;&gt;1),"",VLOOKUP(J84,'Rates'!$A$7:$M$106,5,FALSE))</x:f>
      </x:c>
      <x:c r="M84" s="15" t="str">
        <x:f>IF(OR(J84="",COUNTIF('Rates'!$A$7:$A$106,J84)&lt;&gt;1),"",IF(VLOOKUP(J84,'Rates'!$A$7:$M$106,13,FALSE)&lt;&gt;"","",VLOOKUP(J84,'Rates'!$A$7:$M$106,3,FALSE)))</x:f>
      </x:c>
      <x:c r="N84" s="15" t="str">
        <x:f>IF(OR(J84="",COUNTIF('Rates'!$A$7:$A$106,J84)&lt;&gt;1),"",VLOOKUP(J84,'Rates'!$A$7:$M$106,11,FALSE))</x:f>
      </x:c>
      <x:c r="O84" s="15" t="str">
        <x:f>IF(OR(A84="",P84&lt;&gt;""),"",G84*M84)</x:f>
      </x:c>
      <x:c r="P84" s="14" t="str">
        <x:f>IF(A84="","",IF(COUNTIF($A$7:$A$106,A84)&lt;&gt;1,"Duplicate line ID",IF(AND(I84&lt;&gt;"Measured",I84&lt;&gt;"Provisional"),"Unmeasured or invalid quantity basis",IF(NOT(ISNUMBER(G84)),"Missing numeric quantity",IF(H84="","Missing quantity unit",IF(J84="","Missing rate",IF(COUNTIF('Rates'!$A$7:$A$106,J84)&lt;&gt;1,"Missing or duplicate rate ID",IF(VLOOKUP(J84,'Rates'!$A$7:$M$106,13,FALSE)&lt;&gt;"",VLOOKUP(J84,'Rates'!$A$7:$M$106,13,FALSE),IF(H84&lt;&gt;K84,"Unit mismatch",IF('Summary'!$B$8="","Missing project currency",IF(L84&lt;&gt;'Summary'!$B$8,"Currency mismatch","")))))))))))</x:f>
      </x:c>
      <x:c r="Q84" s="16"/>
      <x:c r="R84" s="7"/>
      <x:c r="S84" s="7"/>
    </x:row>
    <x:row r="85" ht="26" customHeight="1">
      <x:c r="A85" s="16"/>
      <x:c r="B85" s="7"/>
      <x:c r="C85" s="7"/>
      <x:c r="D85" s="7"/>
      <x:c r="E85" s="7"/>
      <x:c r="F85" s="7"/>
      <x:c r="G85" s="10"/>
      <x:c r="H85" s="7"/>
      <x:c r="I85" s="7"/>
      <x:c r="J85" s="16"/>
      <x:c r="K85" s="14" t="str">
        <x:f>IF(OR(J85="",COUNTIF('Rates'!$A$7:$A$106,J85)&lt;&gt;1),"",VLOOKUP(J85,'Rates'!$A$7:$M$106,4,FALSE))</x:f>
      </x:c>
      <x:c r="L85" s="14" t="str">
        <x:f>IF(OR(J85="",COUNTIF('Rates'!$A$7:$A$106,J85)&lt;&gt;1),"",VLOOKUP(J85,'Rates'!$A$7:$M$106,5,FALSE))</x:f>
      </x:c>
      <x:c r="M85" s="15" t="str">
        <x:f>IF(OR(J85="",COUNTIF('Rates'!$A$7:$A$106,J85)&lt;&gt;1),"",IF(VLOOKUP(J85,'Rates'!$A$7:$M$106,13,FALSE)&lt;&gt;"","",VLOOKUP(J85,'Rates'!$A$7:$M$106,3,FALSE)))</x:f>
      </x:c>
      <x:c r="N85" s="15" t="str">
        <x:f>IF(OR(J85="",COUNTIF('Rates'!$A$7:$A$106,J85)&lt;&gt;1),"",VLOOKUP(J85,'Rates'!$A$7:$M$106,11,FALSE))</x:f>
      </x:c>
      <x:c r="O85" s="15" t="str">
        <x:f>IF(OR(A85="",P85&lt;&gt;""),"",G85*M85)</x:f>
      </x:c>
      <x:c r="P85" s="14" t="str">
        <x:f>IF(A85="","",IF(COUNTIF($A$7:$A$106,A85)&lt;&gt;1,"Duplicate line ID",IF(AND(I85&lt;&gt;"Measured",I85&lt;&gt;"Provisional"),"Unmeasured or invalid quantity basis",IF(NOT(ISNUMBER(G85)),"Missing numeric quantity",IF(H85="","Missing quantity unit",IF(J85="","Missing rate",IF(COUNTIF('Rates'!$A$7:$A$106,J85)&lt;&gt;1,"Missing or duplicate rate ID",IF(VLOOKUP(J85,'Rates'!$A$7:$M$106,13,FALSE)&lt;&gt;"",VLOOKUP(J85,'Rates'!$A$7:$M$106,13,FALSE),IF(H85&lt;&gt;K85,"Unit mismatch",IF('Summary'!$B$8="","Missing project currency",IF(L85&lt;&gt;'Summary'!$B$8,"Currency mismatch","")))))))))))</x:f>
      </x:c>
      <x:c r="Q85" s="16"/>
      <x:c r="R85" s="7"/>
      <x:c r="S85" s="7"/>
    </x:row>
    <x:row r="86" ht="26" customHeight="1">
      <x:c r="A86" s="16"/>
      <x:c r="B86" s="7"/>
      <x:c r="C86" s="7"/>
      <x:c r="D86" s="7"/>
      <x:c r="E86" s="7"/>
      <x:c r="F86" s="7"/>
      <x:c r="G86" s="10"/>
      <x:c r="H86" s="7"/>
      <x:c r="I86" s="7"/>
      <x:c r="J86" s="16"/>
      <x:c r="K86" s="14" t="str">
        <x:f>IF(OR(J86="",COUNTIF('Rates'!$A$7:$A$106,J86)&lt;&gt;1),"",VLOOKUP(J86,'Rates'!$A$7:$M$106,4,FALSE))</x:f>
      </x:c>
      <x:c r="L86" s="14" t="str">
        <x:f>IF(OR(J86="",COUNTIF('Rates'!$A$7:$A$106,J86)&lt;&gt;1),"",VLOOKUP(J86,'Rates'!$A$7:$M$106,5,FALSE))</x:f>
      </x:c>
      <x:c r="M86" s="15" t="str">
        <x:f>IF(OR(J86="",COUNTIF('Rates'!$A$7:$A$106,J86)&lt;&gt;1),"",IF(VLOOKUP(J86,'Rates'!$A$7:$M$106,13,FALSE)&lt;&gt;"","",VLOOKUP(J86,'Rates'!$A$7:$M$106,3,FALSE)))</x:f>
      </x:c>
      <x:c r="N86" s="15" t="str">
        <x:f>IF(OR(J86="",COUNTIF('Rates'!$A$7:$A$106,J86)&lt;&gt;1),"",VLOOKUP(J86,'Rates'!$A$7:$M$106,11,FALSE))</x:f>
      </x:c>
      <x:c r="O86" s="15" t="str">
        <x:f>IF(OR(A86="",P86&lt;&gt;""),"",G86*M86)</x:f>
      </x:c>
      <x:c r="P86" s="14" t="str">
        <x:f>IF(A86="","",IF(COUNTIF($A$7:$A$106,A86)&lt;&gt;1,"Duplicate line ID",IF(AND(I86&lt;&gt;"Measured",I86&lt;&gt;"Provisional"),"Unmeasured or invalid quantity basis",IF(NOT(ISNUMBER(G86)),"Missing numeric quantity",IF(H86="","Missing quantity unit",IF(J86="","Missing rate",IF(COUNTIF('Rates'!$A$7:$A$106,J86)&lt;&gt;1,"Missing or duplicate rate ID",IF(VLOOKUP(J86,'Rates'!$A$7:$M$106,13,FALSE)&lt;&gt;"",VLOOKUP(J86,'Rates'!$A$7:$M$106,13,FALSE),IF(H86&lt;&gt;K86,"Unit mismatch",IF('Summary'!$B$8="","Missing project currency",IF(L86&lt;&gt;'Summary'!$B$8,"Currency mismatch","")))))))))))</x:f>
      </x:c>
      <x:c r="Q86" s="16"/>
      <x:c r="R86" s="7"/>
      <x:c r="S86" s="7"/>
    </x:row>
    <x:row r="87" ht="26" customHeight="1">
      <x:c r="A87" s="16"/>
      <x:c r="B87" s="7"/>
      <x:c r="C87" s="7"/>
      <x:c r="D87" s="7"/>
      <x:c r="E87" s="7"/>
      <x:c r="F87" s="7"/>
      <x:c r="G87" s="10"/>
      <x:c r="H87" s="7"/>
      <x:c r="I87" s="7"/>
      <x:c r="J87" s="16"/>
      <x:c r="K87" s="14" t="str">
        <x:f>IF(OR(J87="",COUNTIF('Rates'!$A$7:$A$106,J87)&lt;&gt;1),"",VLOOKUP(J87,'Rates'!$A$7:$M$106,4,FALSE))</x:f>
      </x:c>
      <x:c r="L87" s="14" t="str">
        <x:f>IF(OR(J87="",COUNTIF('Rates'!$A$7:$A$106,J87)&lt;&gt;1),"",VLOOKUP(J87,'Rates'!$A$7:$M$106,5,FALSE))</x:f>
      </x:c>
      <x:c r="M87" s="15" t="str">
        <x:f>IF(OR(J87="",COUNTIF('Rates'!$A$7:$A$106,J87)&lt;&gt;1),"",IF(VLOOKUP(J87,'Rates'!$A$7:$M$106,13,FALSE)&lt;&gt;"","",VLOOKUP(J87,'Rates'!$A$7:$M$106,3,FALSE)))</x:f>
      </x:c>
      <x:c r="N87" s="15" t="str">
        <x:f>IF(OR(J87="",COUNTIF('Rates'!$A$7:$A$106,J87)&lt;&gt;1),"",VLOOKUP(J87,'Rates'!$A$7:$M$106,11,FALSE))</x:f>
      </x:c>
      <x:c r="O87" s="15" t="str">
        <x:f>IF(OR(A87="",P87&lt;&gt;""),"",G87*M87)</x:f>
      </x:c>
      <x:c r="P87" s="14" t="str">
        <x:f>IF(A87="","",IF(COUNTIF($A$7:$A$106,A87)&lt;&gt;1,"Duplicate line ID",IF(AND(I87&lt;&gt;"Measured",I87&lt;&gt;"Provisional"),"Unmeasured or invalid quantity basis",IF(NOT(ISNUMBER(G87)),"Missing numeric quantity",IF(H87="","Missing quantity unit",IF(J87="","Missing rate",IF(COUNTIF('Rates'!$A$7:$A$106,J87)&lt;&gt;1,"Missing or duplicate rate ID",IF(VLOOKUP(J87,'Rates'!$A$7:$M$106,13,FALSE)&lt;&gt;"",VLOOKUP(J87,'Rates'!$A$7:$M$106,13,FALSE),IF(H87&lt;&gt;K87,"Unit mismatch",IF('Summary'!$B$8="","Missing project currency",IF(L87&lt;&gt;'Summary'!$B$8,"Currency mismatch","")))))))))))</x:f>
      </x:c>
      <x:c r="Q87" s="16"/>
      <x:c r="R87" s="7"/>
      <x:c r="S87" s="7"/>
    </x:row>
    <x:row r="88" ht="26" customHeight="1">
      <x:c r="A88" s="16"/>
      <x:c r="B88" s="7"/>
      <x:c r="C88" s="7"/>
      <x:c r="D88" s="7"/>
      <x:c r="E88" s="7"/>
      <x:c r="F88" s="7"/>
      <x:c r="G88" s="10"/>
      <x:c r="H88" s="7"/>
      <x:c r="I88" s="7"/>
      <x:c r="J88" s="16"/>
      <x:c r="K88" s="14" t="str">
        <x:f>IF(OR(J88="",COUNTIF('Rates'!$A$7:$A$106,J88)&lt;&gt;1),"",VLOOKUP(J88,'Rates'!$A$7:$M$106,4,FALSE))</x:f>
      </x:c>
      <x:c r="L88" s="14" t="str">
        <x:f>IF(OR(J88="",COUNTIF('Rates'!$A$7:$A$106,J88)&lt;&gt;1),"",VLOOKUP(J88,'Rates'!$A$7:$M$106,5,FALSE))</x:f>
      </x:c>
      <x:c r="M88" s="15" t="str">
        <x:f>IF(OR(J88="",COUNTIF('Rates'!$A$7:$A$106,J88)&lt;&gt;1),"",IF(VLOOKUP(J88,'Rates'!$A$7:$M$106,13,FALSE)&lt;&gt;"","",VLOOKUP(J88,'Rates'!$A$7:$M$106,3,FALSE)))</x:f>
      </x:c>
      <x:c r="N88" s="15" t="str">
        <x:f>IF(OR(J88="",COUNTIF('Rates'!$A$7:$A$106,J88)&lt;&gt;1),"",VLOOKUP(J88,'Rates'!$A$7:$M$106,11,FALSE))</x:f>
      </x:c>
      <x:c r="O88" s="15" t="str">
        <x:f>IF(OR(A88="",P88&lt;&gt;""),"",G88*M88)</x:f>
      </x:c>
      <x:c r="P88" s="14" t="str">
        <x:f>IF(A88="","",IF(COUNTIF($A$7:$A$106,A88)&lt;&gt;1,"Duplicate line ID",IF(AND(I88&lt;&gt;"Measured",I88&lt;&gt;"Provisional"),"Unmeasured or invalid quantity basis",IF(NOT(ISNUMBER(G88)),"Missing numeric quantity",IF(H88="","Missing quantity unit",IF(J88="","Missing rate",IF(COUNTIF('Rates'!$A$7:$A$106,J88)&lt;&gt;1,"Missing or duplicate rate ID",IF(VLOOKUP(J88,'Rates'!$A$7:$M$106,13,FALSE)&lt;&gt;"",VLOOKUP(J88,'Rates'!$A$7:$M$106,13,FALSE),IF(H88&lt;&gt;K88,"Unit mismatch",IF('Summary'!$B$8="","Missing project currency",IF(L88&lt;&gt;'Summary'!$B$8,"Currency mismatch","")))))))))))</x:f>
      </x:c>
      <x:c r="Q88" s="16"/>
      <x:c r="R88" s="7"/>
      <x:c r="S88" s="7"/>
    </x:row>
    <x:row r="89" ht="26" customHeight="1">
      <x:c r="A89" s="16"/>
      <x:c r="B89" s="7"/>
      <x:c r="C89" s="7"/>
      <x:c r="D89" s="7"/>
      <x:c r="E89" s="7"/>
      <x:c r="F89" s="7"/>
      <x:c r="G89" s="10"/>
      <x:c r="H89" s="7"/>
      <x:c r="I89" s="7"/>
      <x:c r="J89" s="16"/>
      <x:c r="K89" s="14" t="str">
        <x:f>IF(OR(J89="",COUNTIF('Rates'!$A$7:$A$106,J89)&lt;&gt;1),"",VLOOKUP(J89,'Rates'!$A$7:$M$106,4,FALSE))</x:f>
      </x:c>
      <x:c r="L89" s="14" t="str">
        <x:f>IF(OR(J89="",COUNTIF('Rates'!$A$7:$A$106,J89)&lt;&gt;1),"",VLOOKUP(J89,'Rates'!$A$7:$M$106,5,FALSE))</x:f>
      </x:c>
      <x:c r="M89" s="15" t="str">
        <x:f>IF(OR(J89="",COUNTIF('Rates'!$A$7:$A$106,J89)&lt;&gt;1),"",IF(VLOOKUP(J89,'Rates'!$A$7:$M$106,13,FALSE)&lt;&gt;"","",VLOOKUP(J89,'Rates'!$A$7:$M$106,3,FALSE)))</x:f>
      </x:c>
      <x:c r="N89" s="15" t="str">
        <x:f>IF(OR(J89="",COUNTIF('Rates'!$A$7:$A$106,J89)&lt;&gt;1),"",VLOOKUP(J89,'Rates'!$A$7:$M$106,11,FALSE))</x:f>
      </x:c>
      <x:c r="O89" s="15" t="str">
        <x:f>IF(OR(A89="",P89&lt;&gt;""),"",G89*M89)</x:f>
      </x:c>
      <x:c r="P89" s="14" t="str">
        <x:f>IF(A89="","",IF(COUNTIF($A$7:$A$106,A89)&lt;&gt;1,"Duplicate line ID",IF(AND(I89&lt;&gt;"Measured",I89&lt;&gt;"Provisional"),"Unmeasured or invalid quantity basis",IF(NOT(ISNUMBER(G89)),"Missing numeric quantity",IF(H89="","Missing quantity unit",IF(J89="","Missing rate",IF(COUNTIF('Rates'!$A$7:$A$106,J89)&lt;&gt;1,"Missing or duplicate rate ID",IF(VLOOKUP(J89,'Rates'!$A$7:$M$106,13,FALSE)&lt;&gt;"",VLOOKUP(J89,'Rates'!$A$7:$M$106,13,FALSE),IF(H89&lt;&gt;K89,"Unit mismatch",IF('Summary'!$B$8="","Missing project currency",IF(L89&lt;&gt;'Summary'!$B$8,"Currency mismatch","")))))))))))</x:f>
      </x:c>
      <x:c r="Q89" s="16"/>
      <x:c r="R89" s="7"/>
      <x:c r="S89" s="7"/>
    </x:row>
    <x:row r="90" ht="26" customHeight="1">
      <x:c r="A90" s="16"/>
      <x:c r="B90" s="7"/>
      <x:c r="C90" s="7"/>
      <x:c r="D90" s="7"/>
      <x:c r="E90" s="7"/>
      <x:c r="F90" s="7"/>
      <x:c r="G90" s="10"/>
      <x:c r="H90" s="7"/>
      <x:c r="I90" s="7"/>
      <x:c r="J90" s="16"/>
      <x:c r="K90" s="14" t="str">
        <x:f>IF(OR(J90="",COUNTIF('Rates'!$A$7:$A$106,J90)&lt;&gt;1),"",VLOOKUP(J90,'Rates'!$A$7:$M$106,4,FALSE))</x:f>
      </x:c>
      <x:c r="L90" s="14" t="str">
        <x:f>IF(OR(J90="",COUNTIF('Rates'!$A$7:$A$106,J90)&lt;&gt;1),"",VLOOKUP(J90,'Rates'!$A$7:$M$106,5,FALSE))</x:f>
      </x:c>
      <x:c r="M90" s="15" t="str">
        <x:f>IF(OR(J90="",COUNTIF('Rates'!$A$7:$A$106,J90)&lt;&gt;1),"",IF(VLOOKUP(J90,'Rates'!$A$7:$M$106,13,FALSE)&lt;&gt;"","",VLOOKUP(J90,'Rates'!$A$7:$M$106,3,FALSE)))</x:f>
      </x:c>
      <x:c r="N90" s="15" t="str">
        <x:f>IF(OR(J90="",COUNTIF('Rates'!$A$7:$A$106,J90)&lt;&gt;1),"",VLOOKUP(J90,'Rates'!$A$7:$M$106,11,FALSE))</x:f>
      </x:c>
      <x:c r="O90" s="15" t="str">
        <x:f>IF(OR(A90="",P90&lt;&gt;""),"",G90*M90)</x:f>
      </x:c>
      <x:c r="P90" s="14" t="str">
        <x:f>IF(A90="","",IF(COUNTIF($A$7:$A$106,A90)&lt;&gt;1,"Duplicate line ID",IF(AND(I90&lt;&gt;"Measured",I90&lt;&gt;"Provisional"),"Unmeasured or invalid quantity basis",IF(NOT(ISNUMBER(G90)),"Missing numeric quantity",IF(H90="","Missing quantity unit",IF(J90="","Missing rate",IF(COUNTIF('Rates'!$A$7:$A$106,J90)&lt;&gt;1,"Missing or duplicate rate ID",IF(VLOOKUP(J90,'Rates'!$A$7:$M$106,13,FALSE)&lt;&gt;"",VLOOKUP(J90,'Rates'!$A$7:$M$106,13,FALSE),IF(H90&lt;&gt;K90,"Unit mismatch",IF('Summary'!$B$8="","Missing project currency",IF(L90&lt;&gt;'Summary'!$B$8,"Currency mismatch","")))))))))))</x:f>
      </x:c>
      <x:c r="Q90" s="16"/>
      <x:c r="R90" s="7"/>
      <x:c r="S90" s="7"/>
    </x:row>
    <x:row r="91" ht="26" customHeight="1">
      <x:c r="A91" s="16"/>
      <x:c r="B91" s="7"/>
      <x:c r="C91" s="7"/>
      <x:c r="D91" s="7"/>
      <x:c r="E91" s="7"/>
      <x:c r="F91" s="7"/>
      <x:c r="G91" s="10"/>
      <x:c r="H91" s="7"/>
      <x:c r="I91" s="7"/>
      <x:c r="J91" s="16"/>
      <x:c r="K91" s="14" t="str">
        <x:f>IF(OR(J91="",COUNTIF('Rates'!$A$7:$A$106,J91)&lt;&gt;1),"",VLOOKUP(J91,'Rates'!$A$7:$M$106,4,FALSE))</x:f>
      </x:c>
      <x:c r="L91" s="14" t="str">
        <x:f>IF(OR(J91="",COUNTIF('Rates'!$A$7:$A$106,J91)&lt;&gt;1),"",VLOOKUP(J91,'Rates'!$A$7:$M$106,5,FALSE))</x:f>
      </x:c>
      <x:c r="M91" s="15" t="str">
        <x:f>IF(OR(J91="",COUNTIF('Rates'!$A$7:$A$106,J91)&lt;&gt;1),"",IF(VLOOKUP(J91,'Rates'!$A$7:$M$106,13,FALSE)&lt;&gt;"","",VLOOKUP(J91,'Rates'!$A$7:$M$106,3,FALSE)))</x:f>
      </x:c>
      <x:c r="N91" s="15" t="str">
        <x:f>IF(OR(J91="",COUNTIF('Rates'!$A$7:$A$106,J91)&lt;&gt;1),"",VLOOKUP(J91,'Rates'!$A$7:$M$106,11,FALSE))</x:f>
      </x:c>
      <x:c r="O91" s="15" t="str">
        <x:f>IF(OR(A91="",P91&lt;&gt;""),"",G91*M91)</x:f>
      </x:c>
      <x:c r="P91" s="14" t="str">
        <x:f>IF(A91="","",IF(COUNTIF($A$7:$A$106,A91)&lt;&gt;1,"Duplicate line ID",IF(AND(I91&lt;&gt;"Measured",I91&lt;&gt;"Provisional"),"Unmeasured or invalid quantity basis",IF(NOT(ISNUMBER(G91)),"Missing numeric quantity",IF(H91="","Missing quantity unit",IF(J91="","Missing rate",IF(COUNTIF('Rates'!$A$7:$A$106,J91)&lt;&gt;1,"Missing or duplicate rate ID",IF(VLOOKUP(J91,'Rates'!$A$7:$M$106,13,FALSE)&lt;&gt;"",VLOOKUP(J91,'Rates'!$A$7:$M$106,13,FALSE),IF(H91&lt;&gt;K91,"Unit mismatch",IF('Summary'!$B$8="","Missing project currency",IF(L91&lt;&gt;'Summary'!$B$8,"Currency mismatch","")))))))))))</x:f>
      </x:c>
      <x:c r="Q91" s="16"/>
      <x:c r="R91" s="7"/>
      <x:c r="S91" s="7"/>
    </x:row>
    <x:row r="92" ht="26" customHeight="1">
      <x:c r="A92" s="16"/>
      <x:c r="B92" s="7"/>
      <x:c r="C92" s="7"/>
      <x:c r="D92" s="7"/>
      <x:c r="E92" s="7"/>
      <x:c r="F92" s="7"/>
      <x:c r="G92" s="10"/>
      <x:c r="H92" s="7"/>
      <x:c r="I92" s="7"/>
      <x:c r="J92" s="16"/>
      <x:c r="K92" s="14" t="str">
        <x:f>IF(OR(J92="",COUNTIF('Rates'!$A$7:$A$106,J92)&lt;&gt;1),"",VLOOKUP(J92,'Rates'!$A$7:$M$106,4,FALSE))</x:f>
      </x:c>
      <x:c r="L92" s="14" t="str">
        <x:f>IF(OR(J92="",COUNTIF('Rates'!$A$7:$A$106,J92)&lt;&gt;1),"",VLOOKUP(J92,'Rates'!$A$7:$M$106,5,FALSE))</x:f>
      </x:c>
      <x:c r="M92" s="15" t="str">
        <x:f>IF(OR(J92="",COUNTIF('Rates'!$A$7:$A$106,J92)&lt;&gt;1),"",IF(VLOOKUP(J92,'Rates'!$A$7:$M$106,13,FALSE)&lt;&gt;"","",VLOOKUP(J92,'Rates'!$A$7:$M$106,3,FALSE)))</x:f>
      </x:c>
      <x:c r="N92" s="15" t="str">
        <x:f>IF(OR(J92="",COUNTIF('Rates'!$A$7:$A$106,J92)&lt;&gt;1),"",VLOOKUP(J92,'Rates'!$A$7:$M$106,11,FALSE))</x:f>
      </x:c>
      <x:c r="O92" s="15" t="str">
        <x:f>IF(OR(A92="",P92&lt;&gt;""),"",G92*M92)</x:f>
      </x:c>
      <x:c r="P92" s="14" t="str">
        <x:f>IF(A92="","",IF(COUNTIF($A$7:$A$106,A92)&lt;&gt;1,"Duplicate line ID",IF(AND(I92&lt;&gt;"Measured",I92&lt;&gt;"Provisional"),"Unmeasured or invalid quantity basis",IF(NOT(ISNUMBER(G92)),"Missing numeric quantity",IF(H92="","Missing quantity unit",IF(J92="","Missing rate",IF(COUNTIF('Rates'!$A$7:$A$106,J92)&lt;&gt;1,"Missing or duplicate rate ID",IF(VLOOKUP(J92,'Rates'!$A$7:$M$106,13,FALSE)&lt;&gt;"",VLOOKUP(J92,'Rates'!$A$7:$M$106,13,FALSE),IF(H92&lt;&gt;K92,"Unit mismatch",IF('Summary'!$B$8="","Missing project currency",IF(L92&lt;&gt;'Summary'!$B$8,"Currency mismatch","")))))))))))</x:f>
      </x:c>
      <x:c r="Q92" s="16"/>
      <x:c r="R92" s="7"/>
      <x:c r="S92" s="7"/>
    </x:row>
    <x:row r="93" ht="26" customHeight="1">
      <x:c r="A93" s="16"/>
      <x:c r="B93" s="7"/>
      <x:c r="C93" s="7"/>
      <x:c r="D93" s="7"/>
      <x:c r="E93" s="7"/>
      <x:c r="F93" s="7"/>
      <x:c r="G93" s="10"/>
      <x:c r="H93" s="7"/>
      <x:c r="I93" s="7"/>
      <x:c r="J93" s="16"/>
      <x:c r="K93" s="14" t="str">
        <x:f>IF(OR(J93="",COUNTIF('Rates'!$A$7:$A$106,J93)&lt;&gt;1),"",VLOOKUP(J93,'Rates'!$A$7:$M$106,4,FALSE))</x:f>
      </x:c>
      <x:c r="L93" s="14" t="str">
        <x:f>IF(OR(J93="",COUNTIF('Rates'!$A$7:$A$106,J93)&lt;&gt;1),"",VLOOKUP(J93,'Rates'!$A$7:$M$106,5,FALSE))</x:f>
      </x:c>
      <x:c r="M93" s="15" t="str">
        <x:f>IF(OR(J93="",COUNTIF('Rates'!$A$7:$A$106,J93)&lt;&gt;1),"",IF(VLOOKUP(J93,'Rates'!$A$7:$M$106,13,FALSE)&lt;&gt;"","",VLOOKUP(J93,'Rates'!$A$7:$M$106,3,FALSE)))</x:f>
      </x:c>
      <x:c r="N93" s="15" t="str">
        <x:f>IF(OR(J93="",COUNTIF('Rates'!$A$7:$A$106,J93)&lt;&gt;1),"",VLOOKUP(J93,'Rates'!$A$7:$M$106,11,FALSE))</x:f>
      </x:c>
      <x:c r="O93" s="15" t="str">
        <x:f>IF(OR(A93="",P93&lt;&gt;""),"",G93*M93)</x:f>
      </x:c>
      <x:c r="P93" s="14" t="str">
        <x:f>IF(A93="","",IF(COUNTIF($A$7:$A$106,A93)&lt;&gt;1,"Duplicate line ID",IF(AND(I93&lt;&gt;"Measured",I93&lt;&gt;"Provisional"),"Unmeasured or invalid quantity basis",IF(NOT(ISNUMBER(G93)),"Missing numeric quantity",IF(H93="","Missing quantity unit",IF(J93="","Missing rate",IF(COUNTIF('Rates'!$A$7:$A$106,J93)&lt;&gt;1,"Missing or duplicate rate ID",IF(VLOOKUP(J93,'Rates'!$A$7:$M$106,13,FALSE)&lt;&gt;"",VLOOKUP(J93,'Rates'!$A$7:$M$106,13,FALSE),IF(H93&lt;&gt;K93,"Unit mismatch",IF('Summary'!$B$8="","Missing project currency",IF(L93&lt;&gt;'Summary'!$B$8,"Currency mismatch","")))))))))))</x:f>
      </x:c>
      <x:c r="Q93" s="16"/>
      <x:c r="R93" s="7"/>
      <x:c r="S93" s="7"/>
    </x:row>
    <x:row r="94" ht="26" customHeight="1">
      <x:c r="A94" s="16"/>
      <x:c r="B94" s="7"/>
      <x:c r="C94" s="7"/>
      <x:c r="D94" s="7"/>
      <x:c r="E94" s="7"/>
      <x:c r="F94" s="7"/>
      <x:c r="G94" s="10"/>
      <x:c r="H94" s="7"/>
      <x:c r="I94" s="7"/>
      <x:c r="J94" s="16"/>
      <x:c r="K94" s="14" t="str">
        <x:f>IF(OR(J94="",COUNTIF('Rates'!$A$7:$A$106,J94)&lt;&gt;1),"",VLOOKUP(J94,'Rates'!$A$7:$M$106,4,FALSE))</x:f>
      </x:c>
      <x:c r="L94" s="14" t="str">
        <x:f>IF(OR(J94="",COUNTIF('Rates'!$A$7:$A$106,J94)&lt;&gt;1),"",VLOOKUP(J94,'Rates'!$A$7:$M$106,5,FALSE))</x:f>
      </x:c>
      <x:c r="M94" s="15" t="str">
        <x:f>IF(OR(J94="",COUNTIF('Rates'!$A$7:$A$106,J94)&lt;&gt;1),"",IF(VLOOKUP(J94,'Rates'!$A$7:$M$106,13,FALSE)&lt;&gt;"","",VLOOKUP(J94,'Rates'!$A$7:$M$106,3,FALSE)))</x:f>
      </x:c>
      <x:c r="N94" s="15" t="str">
        <x:f>IF(OR(J94="",COUNTIF('Rates'!$A$7:$A$106,J94)&lt;&gt;1),"",VLOOKUP(J94,'Rates'!$A$7:$M$106,11,FALSE))</x:f>
      </x:c>
      <x:c r="O94" s="15" t="str">
        <x:f>IF(OR(A94="",P94&lt;&gt;""),"",G94*M94)</x:f>
      </x:c>
      <x:c r="P94" s="14" t="str">
        <x:f>IF(A94="","",IF(COUNTIF($A$7:$A$106,A94)&lt;&gt;1,"Duplicate line ID",IF(AND(I94&lt;&gt;"Measured",I94&lt;&gt;"Provisional"),"Unmeasured or invalid quantity basis",IF(NOT(ISNUMBER(G94)),"Missing numeric quantity",IF(H94="","Missing quantity unit",IF(J94="","Missing rate",IF(COUNTIF('Rates'!$A$7:$A$106,J94)&lt;&gt;1,"Missing or duplicate rate ID",IF(VLOOKUP(J94,'Rates'!$A$7:$M$106,13,FALSE)&lt;&gt;"",VLOOKUP(J94,'Rates'!$A$7:$M$106,13,FALSE),IF(H94&lt;&gt;K94,"Unit mismatch",IF('Summary'!$B$8="","Missing project currency",IF(L94&lt;&gt;'Summary'!$B$8,"Currency mismatch","")))))))))))</x:f>
      </x:c>
      <x:c r="Q94" s="16"/>
      <x:c r="R94" s="7"/>
      <x:c r="S94" s="7"/>
    </x:row>
    <x:row r="95" ht="26" customHeight="1">
      <x:c r="A95" s="16"/>
      <x:c r="B95" s="7"/>
      <x:c r="C95" s="7"/>
      <x:c r="D95" s="7"/>
      <x:c r="E95" s="7"/>
      <x:c r="F95" s="7"/>
      <x:c r="G95" s="10"/>
      <x:c r="H95" s="7"/>
      <x:c r="I95" s="7"/>
      <x:c r="J95" s="16"/>
      <x:c r="K95" s="14" t="str">
        <x:f>IF(OR(J95="",COUNTIF('Rates'!$A$7:$A$106,J95)&lt;&gt;1),"",VLOOKUP(J95,'Rates'!$A$7:$M$106,4,FALSE))</x:f>
      </x:c>
      <x:c r="L95" s="14" t="str">
        <x:f>IF(OR(J95="",COUNTIF('Rates'!$A$7:$A$106,J95)&lt;&gt;1),"",VLOOKUP(J95,'Rates'!$A$7:$M$106,5,FALSE))</x:f>
      </x:c>
      <x:c r="M95" s="15" t="str">
        <x:f>IF(OR(J95="",COUNTIF('Rates'!$A$7:$A$106,J95)&lt;&gt;1),"",IF(VLOOKUP(J95,'Rates'!$A$7:$M$106,13,FALSE)&lt;&gt;"","",VLOOKUP(J95,'Rates'!$A$7:$M$106,3,FALSE)))</x:f>
      </x:c>
      <x:c r="N95" s="15" t="str">
        <x:f>IF(OR(J95="",COUNTIF('Rates'!$A$7:$A$106,J95)&lt;&gt;1),"",VLOOKUP(J95,'Rates'!$A$7:$M$106,11,FALSE))</x:f>
      </x:c>
      <x:c r="O95" s="15" t="str">
        <x:f>IF(OR(A95="",P95&lt;&gt;""),"",G95*M95)</x:f>
      </x:c>
      <x:c r="P95" s="14" t="str">
        <x:f>IF(A95="","",IF(COUNTIF($A$7:$A$106,A95)&lt;&gt;1,"Duplicate line ID",IF(AND(I95&lt;&gt;"Measured",I95&lt;&gt;"Provisional"),"Unmeasured or invalid quantity basis",IF(NOT(ISNUMBER(G95)),"Missing numeric quantity",IF(H95="","Missing quantity unit",IF(J95="","Missing rate",IF(COUNTIF('Rates'!$A$7:$A$106,J95)&lt;&gt;1,"Missing or duplicate rate ID",IF(VLOOKUP(J95,'Rates'!$A$7:$M$106,13,FALSE)&lt;&gt;"",VLOOKUP(J95,'Rates'!$A$7:$M$106,13,FALSE),IF(H95&lt;&gt;K95,"Unit mismatch",IF('Summary'!$B$8="","Missing project currency",IF(L95&lt;&gt;'Summary'!$B$8,"Currency mismatch","")))))))))))</x:f>
      </x:c>
      <x:c r="Q95" s="16"/>
      <x:c r="R95" s="7"/>
      <x:c r="S95" s="7"/>
    </x:row>
    <x:row r="96" ht="26" customHeight="1">
      <x:c r="A96" s="16"/>
      <x:c r="B96" s="7"/>
      <x:c r="C96" s="7"/>
      <x:c r="D96" s="7"/>
      <x:c r="E96" s="7"/>
      <x:c r="F96" s="7"/>
      <x:c r="G96" s="10"/>
      <x:c r="H96" s="7"/>
      <x:c r="I96" s="7"/>
      <x:c r="J96" s="16"/>
      <x:c r="K96" s="14" t="str">
        <x:f>IF(OR(J96="",COUNTIF('Rates'!$A$7:$A$106,J96)&lt;&gt;1),"",VLOOKUP(J96,'Rates'!$A$7:$M$106,4,FALSE))</x:f>
      </x:c>
      <x:c r="L96" s="14" t="str">
        <x:f>IF(OR(J96="",COUNTIF('Rates'!$A$7:$A$106,J96)&lt;&gt;1),"",VLOOKUP(J96,'Rates'!$A$7:$M$106,5,FALSE))</x:f>
      </x:c>
      <x:c r="M96" s="15" t="str">
        <x:f>IF(OR(J96="",COUNTIF('Rates'!$A$7:$A$106,J96)&lt;&gt;1),"",IF(VLOOKUP(J96,'Rates'!$A$7:$M$106,13,FALSE)&lt;&gt;"","",VLOOKUP(J96,'Rates'!$A$7:$M$106,3,FALSE)))</x:f>
      </x:c>
      <x:c r="N96" s="15" t="str">
        <x:f>IF(OR(J96="",COUNTIF('Rates'!$A$7:$A$106,J96)&lt;&gt;1),"",VLOOKUP(J96,'Rates'!$A$7:$M$106,11,FALSE))</x:f>
      </x:c>
      <x:c r="O96" s="15" t="str">
        <x:f>IF(OR(A96="",P96&lt;&gt;""),"",G96*M96)</x:f>
      </x:c>
      <x:c r="P96" s="14" t="str">
        <x:f>IF(A96="","",IF(COUNTIF($A$7:$A$106,A96)&lt;&gt;1,"Duplicate line ID",IF(AND(I96&lt;&gt;"Measured",I96&lt;&gt;"Provisional"),"Unmeasured or invalid quantity basis",IF(NOT(ISNUMBER(G96)),"Missing numeric quantity",IF(H96="","Missing quantity unit",IF(J96="","Missing rate",IF(COUNTIF('Rates'!$A$7:$A$106,J96)&lt;&gt;1,"Missing or duplicate rate ID",IF(VLOOKUP(J96,'Rates'!$A$7:$M$106,13,FALSE)&lt;&gt;"",VLOOKUP(J96,'Rates'!$A$7:$M$106,13,FALSE),IF(H96&lt;&gt;K96,"Unit mismatch",IF('Summary'!$B$8="","Missing project currency",IF(L96&lt;&gt;'Summary'!$B$8,"Currency mismatch","")))))))))))</x:f>
      </x:c>
      <x:c r="Q96" s="16"/>
      <x:c r="R96" s="7"/>
      <x:c r="S96" s="7"/>
    </x:row>
    <x:row r="97" ht="26" customHeight="1">
      <x:c r="A97" s="16"/>
      <x:c r="B97" s="7"/>
      <x:c r="C97" s="7"/>
      <x:c r="D97" s="7"/>
      <x:c r="E97" s="7"/>
      <x:c r="F97" s="7"/>
      <x:c r="G97" s="10"/>
      <x:c r="H97" s="7"/>
      <x:c r="I97" s="7"/>
      <x:c r="J97" s="16"/>
      <x:c r="K97" s="14" t="str">
        <x:f>IF(OR(J97="",COUNTIF('Rates'!$A$7:$A$106,J97)&lt;&gt;1),"",VLOOKUP(J97,'Rates'!$A$7:$M$106,4,FALSE))</x:f>
      </x:c>
      <x:c r="L97" s="14" t="str">
        <x:f>IF(OR(J97="",COUNTIF('Rates'!$A$7:$A$106,J97)&lt;&gt;1),"",VLOOKUP(J97,'Rates'!$A$7:$M$106,5,FALSE))</x:f>
      </x:c>
      <x:c r="M97" s="15" t="str">
        <x:f>IF(OR(J97="",COUNTIF('Rates'!$A$7:$A$106,J97)&lt;&gt;1),"",IF(VLOOKUP(J97,'Rates'!$A$7:$M$106,13,FALSE)&lt;&gt;"","",VLOOKUP(J97,'Rates'!$A$7:$M$106,3,FALSE)))</x:f>
      </x:c>
      <x:c r="N97" s="15" t="str">
        <x:f>IF(OR(J97="",COUNTIF('Rates'!$A$7:$A$106,J97)&lt;&gt;1),"",VLOOKUP(J97,'Rates'!$A$7:$M$106,11,FALSE))</x:f>
      </x:c>
      <x:c r="O97" s="15" t="str">
        <x:f>IF(OR(A97="",P97&lt;&gt;""),"",G97*M97)</x:f>
      </x:c>
      <x:c r="P97" s="14" t="str">
        <x:f>IF(A97="","",IF(COUNTIF($A$7:$A$106,A97)&lt;&gt;1,"Duplicate line ID",IF(AND(I97&lt;&gt;"Measured",I97&lt;&gt;"Provisional"),"Unmeasured or invalid quantity basis",IF(NOT(ISNUMBER(G97)),"Missing numeric quantity",IF(H97="","Missing quantity unit",IF(J97="","Missing rate",IF(COUNTIF('Rates'!$A$7:$A$106,J97)&lt;&gt;1,"Missing or duplicate rate ID",IF(VLOOKUP(J97,'Rates'!$A$7:$M$106,13,FALSE)&lt;&gt;"",VLOOKUP(J97,'Rates'!$A$7:$M$106,13,FALSE),IF(H97&lt;&gt;K97,"Unit mismatch",IF('Summary'!$B$8="","Missing project currency",IF(L97&lt;&gt;'Summary'!$B$8,"Currency mismatch","")))))))))))</x:f>
      </x:c>
      <x:c r="Q97" s="16"/>
      <x:c r="R97" s="7"/>
      <x:c r="S97" s="7"/>
    </x:row>
    <x:row r="98" ht="26" customHeight="1">
      <x:c r="A98" s="16"/>
      <x:c r="B98" s="7"/>
      <x:c r="C98" s="7"/>
      <x:c r="D98" s="7"/>
      <x:c r="E98" s="7"/>
      <x:c r="F98" s="7"/>
      <x:c r="G98" s="10"/>
      <x:c r="H98" s="7"/>
      <x:c r="I98" s="7"/>
      <x:c r="J98" s="16"/>
      <x:c r="K98" s="14" t="str">
        <x:f>IF(OR(J98="",COUNTIF('Rates'!$A$7:$A$106,J98)&lt;&gt;1),"",VLOOKUP(J98,'Rates'!$A$7:$M$106,4,FALSE))</x:f>
      </x:c>
      <x:c r="L98" s="14" t="str">
        <x:f>IF(OR(J98="",COUNTIF('Rates'!$A$7:$A$106,J98)&lt;&gt;1),"",VLOOKUP(J98,'Rates'!$A$7:$M$106,5,FALSE))</x:f>
      </x:c>
      <x:c r="M98" s="15" t="str">
        <x:f>IF(OR(J98="",COUNTIF('Rates'!$A$7:$A$106,J98)&lt;&gt;1),"",IF(VLOOKUP(J98,'Rates'!$A$7:$M$106,13,FALSE)&lt;&gt;"","",VLOOKUP(J98,'Rates'!$A$7:$M$106,3,FALSE)))</x:f>
      </x:c>
      <x:c r="N98" s="15" t="str">
        <x:f>IF(OR(J98="",COUNTIF('Rates'!$A$7:$A$106,J98)&lt;&gt;1),"",VLOOKUP(J98,'Rates'!$A$7:$M$106,11,FALSE))</x:f>
      </x:c>
      <x:c r="O98" s="15" t="str">
        <x:f>IF(OR(A98="",P98&lt;&gt;""),"",G98*M98)</x:f>
      </x:c>
      <x:c r="P98" s="14" t="str">
        <x:f>IF(A98="","",IF(COUNTIF($A$7:$A$106,A98)&lt;&gt;1,"Duplicate line ID",IF(AND(I98&lt;&gt;"Measured",I98&lt;&gt;"Provisional"),"Unmeasured or invalid quantity basis",IF(NOT(ISNUMBER(G98)),"Missing numeric quantity",IF(H98="","Missing quantity unit",IF(J98="","Missing rate",IF(COUNTIF('Rates'!$A$7:$A$106,J98)&lt;&gt;1,"Missing or duplicate rate ID",IF(VLOOKUP(J98,'Rates'!$A$7:$M$106,13,FALSE)&lt;&gt;"",VLOOKUP(J98,'Rates'!$A$7:$M$106,13,FALSE),IF(H98&lt;&gt;K98,"Unit mismatch",IF('Summary'!$B$8="","Missing project currency",IF(L98&lt;&gt;'Summary'!$B$8,"Currency mismatch","")))))))))))</x:f>
      </x:c>
      <x:c r="Q98" s="16"/>
      <x:c r="R98" s="7"/>
      <x:c r="S98" s="7"/>
    </x:row>
    <x:row r="99" ht="26" customHeight="1">
      <x:c r="A99" s="16"/>
      <x:c r="B99" s="7"/>
      <x:c r="C99" s="7"/>
      <x:c r="D99" s="7"/>
      <x:c r="E99" s="7"/>
      <x:c r="F99" s="7"/>
      <x:c r="G99" s="10"/>
      <x:c r="H99" s="7"/>
      <x:c r="I99" s="7"/>
      <x:c r="J99" s="16"/>
      <x:c r="K99" s="14" t="str">
        <x:f>IF(OR(J99="",COUNTIF('Rates'!$A$7:$A$106,J99)&lt;&gt;1),"",VLOOKUP(J99,'Rates'!$A$7:$M$106,4,FALSE))</x:f>
      </x:c>
      <x:c r="L99" s="14" t="str">
        <x:f>IF(OR(J99="",COUNTIF('Rates'!$A$7:$A$106,J99)&lt;&gt;1),"",VLOOKUP(J99,'Rates'!$A$7:$M$106,5,FALSE))</x:f>
      </x:c>
      <x:c r="M99" s="15" t="str">
        <x:f>IF(OR(J99="",COUNTIF('Rates'!$A$7:$A$106,J99)&lt;&gt;1),"",IF(VLOOKUP(J99,'Rates'!$A$7:$M$106,13,FALSE)&lt;&gt;"","",VLOOKUP(J99,'Rates'!$A$7:$M$106,3,FALSE)))</x:f>
      </x:c>
      <x:c r="N99" s="15" t="str">
        <x:f>IF(OR(J99="",COUNTIF('Rates'!$A$7:$A$106,J99)&lt;&gt;1),"",VLOOKUP(J99,'Rates'!$A$7:$M$106,11,FALSE))</x:f>
      </x:c>
      <x:c r="O99" s="15" t="str">
        <x:f>IF(OR(A99="",P99&lt;&gt;""),"",G99*M99)</x:f>
      </x:c>
      <x:c r="P99" s="14" t="str">
        <x:f>IF(A99="","",IF(COUNTIF($A$7:$A$106,A99)&lt;&gt;1,"Duplicate line ID",IF(AND(I99&lt;&gt;"Measured",I99&lt;&gt;"Provisional"),"Unmeasured or invalid quantity basis",IF(NOT(ISNUMBER(G99)),"Missing numeric quantity",IF(H99="","Missing quantity unit",IF(J99="","Missing rate",IF(COUNTIF('Rates'!$A$7:$A$106,J99)&lt;&gt;1,"Missing or duplicate rate ID",IF(VLOOKUP(J99,'Rates'!$A$7:$M$106,13,FALSE)&lt;&gt;"",VLOOKUP(J99,'Rates'!$A$7:$M$106,13,FALSE),IF(H99&lt;&gt;K99,"Unit mismatch",IF('Summary'!$B$8="","Missing project currency",IF(L99&lt;&gt;'Summary'!$B$8,"Currency mismatch","")))))))))))</x:f>
      </x:c>
      <x:c r="Q99" s="16"/>
      <x:c r="R99" s="7"/>
      <x:c r="S99" s="7"/>
    </x:row>
    <x:row r="100" ht="26" customHeight="1">
      <x:c r="A100" s="16"/>
      <x:c r="B100" s="7"/>
      <x:c r="C100" s="7"/>
      <x:c r="D100" s="7"/>
      <x:c r="E100" s="7"/>
      <x:c r="F100" s="7"/>
      <x:c r="G100" s="10"/>
      <x:c r="H100" s="7"/>
      <x:c r="I100" s="7"/>
      <x:c r="J100" s="16"/>
      <x:c r="K100" s="14" t="str">
        <x:f>IF(OR(J100="",COUNTIF('Rates'!$A$7:$A$106,J100)&lt;&gt;1),"",VLOOKUP(J100,'Rates'!$A$7:$M$106,4,FALSE))</x:f>
      </x:c>
      <x:c r="L100" s="14" t="str">
        <x:f>IF(OR(J100="",COUNTIF('Rates'!$A$7:$A$106,J100)&lt;&gt;1),"",VLOOKUP(J100,'Rates'!$A$7:$M$106,5,FALSE))</x:f>
      </x:c>
      <x:c r="M100" s="15" t="str">
        <x:f>IF(OR(J100="",COUNTIF('Rates'!$A$7:$A$106,J100)&lt;&gt;1),"",IF(VLOOKUP(J100,'Rates'!$A$7:$M$106,13,FALSE)&lt;&gt;"","",VLOOKUP(J100,'Rates'!$A$7:$M$106,3,FALSE)))</x:f>
      </x:c>
      <x:c r="N100" s="15" t="str">
        <x:f>IF(OR(J100="",COUNTIF('Rates'!$A$7:$A$106,J100)&lt;&gt;1),"",VLOOKUP(J100,'Rates'!$A$7:$M$106,11,FALSE))</x:f>
      </x:c>
      <x:c r="O100" s="15" t="str">
        <x:f>IF(OR(A100="",P100&lt;&gt;""),"",G100*M100)</x:f>
      </x:c>
      <x:c r="P100" s="14" t="str">
        <x:f>IF(A100="","",IF(COUNTIF($A$7:$A$106,A100)&lt;&gt;1,"Duplicate line ID",IF(AND(I100&lt;&gt;"Measured",I100&lt;&gt;"Provisional"),"Unmeasured or invalid quantity basis",IF(NOT(ISNUMBER(G100)),"Missing numeric quantity",IF(H100="","Missing quantity unit",IF(J100="","Missing rate",IF(COUNTIF('Rates'!$A$7:$A$106,J100)&lt;&gt;1,"Missing or duplicate rate ID",IF(VLOOKUP(J100,'Rates'!$A$7:$M$106,13,FALSE)&lt;&gt;"",VLOOKUP(J100,'Rates'!$A$7:$M$106,13,FALSE),IF(H100&lt;&gt;K100,"Unit mismatch",IF('Summary'!$B$8="","Missing project currency",IF(L100&lt;&gt;'Summary'!$B$8,"Currency mismatch","")))))))))))</x:f>
      </x:c>
      <x:c r="Q100" s="16"/>
      <x:c r="R100" s="7"/>
      <x:c r="S100" s="7"/>
    </x:row>
    <x:row r="101" ht="26" customHeight="1">
      <x:c r="A101" s="16"/>
      <x:c r="B101" s="7"/>
      <x:c r="C101" s="7"/>
      <x:c r="D101" s="7"/>
      <x:c r="E101" s="7"/>
      <x:c r="F101" s="7"/>
      <x:c r="G101" s="10"/>
      <x:c r="H101" s="7"/>
      <x:c r="I101" s="7"/>
      <x:c r="J101" s="16"/>
      <x:c r="K101" s="14" t="str">
        <x:f>IF(OR(J101="",COUNTIF('Rates'!$A$7:$A$106,J101)&lt;&gt;1),"",VLOOKUP(J101,'Rates'!$A$7:$M$106,4,FALSE))</x:f>
      </x:c>
      <x:c r="L101" s="14" t="str">
        <x:f>IF(OR(J101="",COUNTIF('Rates'!$A$7:$A$106,J101)&lt;&gt;1),"",VLOOKUP(J101,'Rates'!$A$7:$M$106,5,FALSE))</x:f>
      </x:c>
      <x:c r="M101" s="15" t="str">
        <x:f>IF(OR(J101="",COUNTIF('Rates'!$A$7:$A$106,J101)&lt;&gt;1),"",IF(VLOOKUP(J101,'Rates'!$A$7:$M$106,13,FALSE)&lt;&gt;"","",VLOOKUP(J101,'Rates'!$A$7:$M$106,3,FALSE)))</x:f>
      </x:c>
      <x:c r="N101" s="15" t="str">
        <x:f>IF(OR(J101="",COUNTIF('Rates'!$A$7:$A$106,J101)&lt;&gt;1),"",VLOOKUP(J101,'Rates'!$A$7:$M$106,11,FALSE))</x:f>
      </x:c>
      <x:c r="O101" s="15" t="str">
        <x:f>IF(OR(A101="",P101&lt;&gt;""),"",G101*M101)</x:f>
      </x:c>
      <x:c r="P101" s="14" t="str">
        <x:f>IF(A101="","",IF(COUNTIF($A$7:$A$106,A101)&lt;&gt;1,"Duplicate line ID",IF(AND(I101&lt;&gt;"Measured",I101&lt;&gt;"Provisional"),"Unmeasured or invalid quantity basis",IF(NOT(ISNUMBER(G101)),"Missing numeric quantity",IF(H101="","Missing quantity unit",IF(J101="","Missing rate",IF(COUNTIF('Rates'!$A$7:$A$106,J101)&lt;&gt;1,"Missing or duplicate rate ID",IF(VLOOKUP(J101,'Rates'!$A$7:$M$106,13,FALSE)&lt;&gt;"",VLOOKUP(J101,'Rates'!$A$7:$M$106,13,FALSE),IF(H101&lt;&gt;K101,"Unit mismatch",IF('Summary'!$B$8="","Missing project currency",IF(L101&lt;&gt;'Summary'!$B$8,"Currency mismatch","")))))))))))</x:f>
      </x:c>
      <x:c r="Q101" s="16"/>
      <x:c r="R101" s="7"/>
      <x:c r="S101" s="7"/>
    </x:row>
    <x:row r="102" ht="26" customHeight="1">
      <x:c r="A102" s="16"/>
      <x:c r="B102" s="7"/>
      <x:c r="C102" s="7"/>
      <x:c r="D102" s="7"/>
      <x:c r="E102" s="7"/>
      <x:c r="F102" s="7"/>
      <x:c r="G102" s="10"/>
      <x:c r="H102" s="7"/>
      <x:c r="I102" s="7"/>
      <x:c r="J102" s="16"/>
      <x:c r="K102" s="14" t="str">
        <x:f>IF(OR(J102="",COUNTIF('Rates'!$A$7:$A$106,J102)&lt;&gt;1),"",VLOOKUP(J102,'Rates'!$A$7:$M$106,4,FALSE))</x:f>
      </x:c>
      <x:c r="L102" s="14" t="str">
        <x:f>IF(OR(J102="",COUNTIF('Rates'!$A$7:$A$106,J102)&lt;&gt;1),"",VLOOKUP(J102,'Rates'!$A$7:$M$106,5,FALSE))</x:f>
      </x:c>
      <x:c r="M102" s="15" t="str">
        <x:f>IF(OR(J102="",COUNTIF('Rates'!$A$7:$A$106,J102)&lt;&gt;1),"",IF(VLOOKUP(J102,'Rates'!$A$7:$M$106,13,FALSE)&lt;&gt;"","",VLOOKUP(J102,'Rates'!$A$7:$M$106,3,FALSE)))</x:f>
      </x:c>
      <x:c r="N102" s="15" t="str">
        <x:f>IF(OR(J102="",COUNTIF('Rates'!$A$7:$A$106,J102)&lt;&gt;1),"",VLOOKUP(J102,'Rates'!$A$7:$M$106,11,FALSE))</x:f>
      </x:c>
      <x:c r="O102" s="15" t="str">
        <x:f>IF(OR(A102="",P102&lt;&gt;""),"",G102*M102)</x:f>
      </x:c>
      <x:c r="P102" s="14" t="str">
        <x:f>IF(A102="","",IF(COUNTIF($A$7:$A$106,A102)&lt;&gt;1,"Duplicate line ID",IF(AND(I102&lt;&gt;"Measured",I102&lt;&gt;"Provisional"),"Unmeasured or invalid quantity basis",IF(NOT(ISNUMBER(G102)),"Missing numeric quantity",IF(H102="","Missing quantity unit",IF(J102="","Missing rate",IF(COUNTIF('Rates'!$A$7:$A$106,J102)&lt;&gt;1,"Missing or duplicate rate ID",IF(VLOOKUP(J102,'Rates'!$A$7:$M$106,13,FALSE)&lt;&gt;"",VLOOKUP(J102,'Rates'!$A$7:$M$106,13,FALSE),IF(H102&lt;&gt;K102,"Unit mismatch",IF('Summary'!$B$8="","Missing project currency",IF(L102&lt;&gt;'Summary'!$B$8,"Currency mismatch","")))))))))))</x:f>
      </x:c>
      <x:c r="Q102" s="16"/>
      <x:c r="R102" s="7"/>
      <x:c r="S102" s="7"/>
    </x:row>
    <x:row r="103" ht="26" customHeight="1">
      <x:c r="A103" s="16"/>
      <x:c r="B103" s="7"/>
      <x:c r="C103" s="7"/>
      <x:c r="D103" s="7"/>
      <x:c r="E103" s="7"/>
      <x:c r="F103" s="7"/>
      <x:c r="G103" s="10"/>
      <x:c r="H103" s="7"/>
      <x:c r="I103" s="7"/>
      <x:c r="J103" s="16"/>
      <x:c r="K103" s="14" t="str">
        <x:f>IF(OR(J103="",COUNTIF('Rates'!$A$7:$A$106,J103)&lt;&gt;1),"",VLOOKUP(J103,'Rates'!$A$7:$M$106,4,FALSE))</x:f>
      </x:c>
      <x:c r="L103" s="14" t="str">
        <x:f>IF(OR(J103="",COUNTIF('Rates'!$A$7:$A$106,J103)&lt;&gt;1),"",VLOOKUP(J103,'Rates'!$A$7:$M$106,5,FALSE))</x:f>
      </x:c>
      <x:c r="M103" s="15" t="str">
        <x:f>IF(OR(J103="",COUNTIF('Rates'!$A$7:$A$106,J103)&lt;&gt;1),"",IF(VLOOKUP(J103,'Rates'!$A$7:$M$106,13,FALSE)&lt;&gt;"","",VLOOKUP(J103,'Rates'!$A$7:$M$106,3,FALSE)))</x:f>
      </x:c>
      <x:c r="N103" s="15" t="str">
        <x:f>IF(OR(J103="",COUNTIF('Rates'!$A$7:$A$106,J103)&lt;&gt;1),"",VLOOKUP(J103,'Rates'!$A$7:$M$106,11,FALSE))</x:f>
      </x:c>
      <x:c r="O103" s="15" t="str">
        <x:f>IF(OR(A103="",P103&lt;&gt;""),"",G103*M103)</x:f>
      </x:c>
      <x:c r="P103" s="14" t="str">
        <x:f>IF(A103="","",IF(COUNTIF($A$7:$A$106,A103)&lt;&gt;1,"Duplicate line ID",IF(AND(I103&lt;&gt;"Measured",I103&lt;&gt;"Provisional"),"Unmeasured or invalid quantity basis",IF(NOT(ISNUMBER(G103)),"Missing numeric quantity",IF(H103="","Missing quantity unit",IF(J103="","Missing rate",IF(COUNTIF('Rates'!$A$7:$A$106,J103)&lt;&gt;1,"Missing or duplicate rate ID",IF(VLOOKUP(J103,'Rates'!$A$7:$M$106,13,FALSE)&lt;&gt;"",VLOOKUP(J103,'Rates'!$A$7:$M$106,13,FALSE),IF(H103&lt;&gt;K103,"Unit mismatch",IF('Summary'!$B$8="","Missing project currency",IF(L103&lt;&gt;'Summary'!$B$8,"Currency mismatch","")))))))))))</x:f>
      </x:c>
      <x:c r="Q103" s="16"/>
      <x:c r="R103" s="7"/>
      <x:c r="S103" s="7"/>
    </x:row>
    <x:row r="104" ht="26" customHeight="1">
      <x:c r="A104" s="16"/>
      <x:c r="B104" s="7"/>
      <x:c r="C104" s="7"/>
      <x:c r="D104" s="7"/>
      <x:c r="E104" s="7"/>
      <x:c r="F104" s="7"/>
      <x:c r="G104" s="10"/>
      <x:c r="H104" s="7"/>
      <x:c r="I104" s="7"/>
      <x:c r="J104" s="16"/>
      <x:c r="K104" s="14" t="str">
        <x:f>IF(OR(J104="",COUNTIF('Rates'!$A$7:$A$106,J104)&lt;&gt;1),"",VLOOKUP(J104,'Rates'!$A$7:$M$106,4,FALSE))</x:f>
      </x:c>
      <x:c r="L104" s="14" t="str">
        <x:f>IF(OR(J104="",COUNTIF('Rates'!$A$7:$A$106,J104)&lt;&gt;1),"",VLOOKUP(J104,'Rates'!$A$7:$M$106,5,FALSE))</x:f>
      </x:c>
      <x:c r="M104" s="15" t="str">
        <x:f>IF(OR(J104="",COUNTIF('Rates'!$A$7:$A$106,J104)&lt;&gt;1),"",IF(VLOOKUP(J104,'Rates'!$A$7:$M$106,13,FALSE)&lt;&gt;"","",VLOOKUP(J104,'Rates'!$A$7:$M$106,3,FALSE)))</x:f>
      </x:c>
      <x:c r="N104" s="15" t="str">
        <x:f>IF(OR(J104="",COUNTIF('Rates'!$A$7:$A$106,J104)&lt;&gt;1),"",VLOOKUP(J104,'Rates'!$A$7:$M$106,11,FALSE))</x:f>
      </x:c>
      <x:c r="O104" s="15" t="str">
        <x:f>IF(OR(A104="",P104&lt;&gt;""),"",G104*M104)</x:f>
      </x:c>
      <x:c r="P104" s="14" t="str">
        <x:f>IF(A104="","",IF(COUNTIF($A$7:$A$106,A104)&lt;&gt;1,"Duplicate line ID",IF(AND(I104&lt;&gt;"Measured",I104&lt;&gt;"Provisional"),"Unmeasured or invalid quantity basis",IF(NOT(ISNUMBER(G104)),"Missing numeric quantity",IF(H104="","Missing quantity unit",IF(J104="","Missing rate",IF(COUNTIF('Rates'!$A$7:$A$106,J104)&lt;&gt;1,"Missing or duplicate rate ID",IF(VLOOKUP(J104,'Rates'!$A$7:$M$106,13,FALSE)&lt;&gt;"",VLOOKUP(J104,'Rates'!$A$7:$M$106,13,FALSE),IF(H104&lt;&gt;K104,"Unit mismatch",IF('Summary'!$B$8="","Missing project currency",IF(L104&lt;&gt;'Summary'!$B$8,"Currency mismatch","")))))))))))</x:f>
      </x:c>
      <x:c r="Q104" s="16"/>
      <x:c r="R104" s="7"/>
      <x:c r="S104" s="7"/>
    </x:row>
    <x:row r="105" ht="26" customHeight="1">
      <x:c r="A105" s="16"/>
      <x:c r="B105" s="7"/>
      <x:c r="C105" s="7"/>
      <x:c r="D105" s="7"/>
      <x:c r="E105" s="7"/>
      <x:c r="F105" s="7"/>
      <x:c r="G105" s="10"/>
      <x:c r="H105" s="7"/>
      <x:c r="I105" s="7"/>
      <x:c r="J105" s="16"/>
      <x:c r="K105" s="14" t="str">
        <x:f>IF(OR(J105="",COUNTIF('Rates'!$A$7:$A$106,J105)&lt;&gt;1),"",VLOOKUP(J105,'Rates'!$A$7:$M$106,4,FALSE))</x:f>
      </x:c>
      <x:c r="L105" s="14" t="str">
        <x:f>IF(OR(J105="",COUNTIF('Rates'!$A$7:$A$106,J105)&lt;&gt;1),"",VLOOKUP(J105,'Rates'!$A$7:$M$106,5,FALSE))</x:f>
      </x:c>
      <x:c r="M105" s="15" t="str">
        <x:f>IF(OR(J105="",COUNTIF('Rates'!$A$7:$A$106,J105)&lt;&gt;1),"",IF(VLOOKUP(J105,'Rates'!$A$7:$M$106,13,FALSE)&lt;&gt;"","",VLOOKUP(J105,'Rates'!$A$7:$M$106,3,FALSE)))</x:f>
      </x:c>
      <x:c r="N105" s="15" t="str">
        <x:f>IF(OR(J105="",COUNTIF('Rates'!$A$7:$A$106,J105)&lt;&gt;1),"",VLOOKUP(J105,'Rates'!$A$7:$M$106,11,FALSE))</x:f>
      </x:c>
      <x:c r="O105" s="15" t="str">
        <x:f>IF(OR(A105="",P105&lt;&gt;""),"",G105*M105)</x:f>
      </x:c>
      <x:c r="P105" s="14" t="str">
        <x:f>IF(A105="","",IF(COUNTIF($A$7:$A$106,A105)&lt;&gt;1,"Duplicate line ID",IF(AND(I105&lt;&gt;"Measured",I105&lt;&gt;"Provisional"),"Unmeasured or invalid quantity basis",IF(NOT(ISNUMBER(G105)),"Missing numeric quantity",IF(H105="","Missing quantity unit",IF(J105="","Missing rate",IF(COUNTIF('Rates'!$A$7:$A$106,J105)&lt;&gt;1,"Missing or duplicate rate ID",IF(VLOOKUP(J105,'Rates'!$A$7:$M$106,13,FALSE)&lt;&gt;"",VLOOKUP(J105,'Rates'!$A$7:$M$106,13,FALSE),IF(H105&lt;&gt;K105,"Unit mismatch",IF('Summary'!$B$8="","Missing project currency",IF(L105&lt;&gt;'Summary'!$B$8,"Currency mismatch","")))))))))))</x:f>
      </x:c>
      <x:c r="Q105" s="16"/>
      <x:c r="R105" s="7"/>
      <x:c r="S105" s="7"/>
    </x:row>
    <x:row r="106" ht="26" customHeight="1">
      <x:c r="A106" s="16"/>
      <x:c r="B106" s="7"/>
      <x:c r="C106" s="7"/>
      <x:c r="D106" s="7"/>
      <x:c r="E106" s="7"/>
      <x:c r="F106" s="7"/>
      <x:c r="G106" s="10"/>
      <x:c r="H106" s="7"/>
      <x:c r="I106" s="7"/>
      <x:c r="J106" s="16"/>
      <x:c r="K106" s="14" t="str">
        <x:f>IF(OR(J106="",COUNTIF('Rates'!$A$7:$A$106,J106)&lt;&gt;1),"",VLOOKUP(J106,'Rates'!$A$7:$M$106,4,FALSE))</x:f>
      </x:c>
      <x:c r="L106" s="14" t="str">
        <x:f>IF(OR(J106="",COUNTIF('Rates'!$A$7:$A$106,J106)&lt;&gt;1),"",VLOOKUP(J106,'Rates'!$A$7:$M$106,5,FALSE))</x:f>
      </x:c>
      <x:c r="M106" s="15" t="str">
        <x:f>IF(OR(J106="",COUNTIF('Rates'!$A$7:$A$106,J106)&lt;&gt;1),"",IF(VLOOKUP(J106,'Rates'!$A$7:$M$106,13,FALSE)&lt;&gt;"","",VLOOKUP(J106,'Rates'!$A$7:$M$106,3,FALSE)))</x:f>
      </x:c>
      <x:c r="N106" s="15" t="str">
        <x:f>IF(OR(J106="",COUNTIF('Rates'!$A$7:$A$106,J106)&lt;&gt;1),"",VLOOKUP(J106,'Rates'!$A$7:$M$106,11,FALSE))</x:f>
      </x:c>
      <x:c r="O106" s="15" t="str">
        <x:f>IF(OR(A106="",P106&lt;&gt;""),"",G106*M106)</x:f>
      </x:c>
      <x:c r="P106" s="14" t="str">
        <x:f>IF(A106="","",IF(COUNTIF($A$7:$A$106,A106)&lt;&gt;1,"Duplicate line ID",IF(AND(I106&lt;&gt;"Measured",I106&lt;&gt;"Provisional"),"Unmeasured or invalid quantity basis",IF(NOT(ISNUMBER(G106)),"Missing numeric quantity",IF(H106="","Missing quantity unit",IF(J106="","Missing rate",IF(COUNTIF('Rates'!$A$7:$A$106,J106)&lt;&gt;1,"Missing or duplicate rate ID",IF(VLOOKUP(J106,'Rates'!$A$7:$M$106,13,FALSE)&lt;&gt;"",VLOOKUP(J106,'Rates'!$A$7:$M$106,13,FALSE),IF(H106&lt;&gt;K106,"Unit mismatch",IF('Summary'!$B$8="","Missing project currency",IF(L106&lt;&gt;'Summary'!$B$8,"Currency mismatch","")))))))))))</x:f>
      </x:c>
      <x:c r="Q106" s="16"/>
      <x:c r="R106" s="7"/>
      <x:c r="S106" s="7"/>
    </x:row>
  </x:sheetData>
  <x:dataValidations count="1">
    <x:dataValidation type="list" sqref="I7:I106">
      <x:formula1>"Measured,Provisional,Unmeasured"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0" hidden="0" customWidth="1"/>
    <x:col min="2" max="2" width="36" hidden="0" customWidth="1"/>
    <x:col min="3" max="3" width="16" hidden="0" customWidth="1"/>
    <x:col min="4" max="4" width="12" hidden="0" customWidth="1"/>
    <x:col min="5" max="5" width="14" hidden="0" customWidth="1"/>
    <x:col min="6" max="6" width="24" hidden="0" customWidth="1"/>
    <x:col min="7" max="7" width="16" hidden="0" customWidth="1"/>
    <x:col min="8" max="8" width="36" hidden="0" customWidth="1"/>
    <x:col min="9" max="9" width="40" hidden="0" customWidth="1"/>
    <x:col min="10" max="10" width="36" hidden="0" customWidth="1"/>
    <x:col min="11" max="11" width="18" hidden="0" customWidth="1"/>
    <x:col min="12" max="12" width="32" hidden="0" customWidth="1"/>
    <x:col min="13" max="13" width="32" hidden="0" customWidth="1"/>
  </x:cols>
  <x:sheetData>
    <x:row r="1">
      <x:c r="A1" s="2" t="str">
        <x:v>Rate evidence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>
      <x:c r="A3" s="3" t="str">
        <x:v>100 reserved rows. No default market prices. Preserve source, date, location and inclusions.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44" customHeight="1">
      <x:c r="A6" s="6" t="str">
        <x:v>Rate ID</x:v>
      </x:c>
      <x:c r="B6" s="6" t="str">
        <x:v>Description</x:v>
      </x:c>
      <x:c r="C6" s="6" t="str">
        <x:v>Unit rate</x:v>
      </x:c>
      <x:c r="D6" s="6" t="str">
        <x:v>Unit</x:v>
      </x:c>
      <x:c r="E6" s="6" t="str">
        <x:v>Currency</x:v>
      </x:c>
      <x:c r="F6" s="6" t="str">
        <x:v>Geography</x:v>
      </x:c>
      <x:c r="G6" s="6" t="str">
        <x:v>Base date</x:v>
      </x:c>
      <x:c r="H6" s="6" t="str">
        <x:v>Source / locator</x:v>
      </x:c>
      <x:c r="I6" s="6" t="str">
        <x:v>Included scope</x:v>
      </x:c>
      <x:c r="J6" s="6" t="str">
        <x:v>Excluded scope</x:v>
      </x:c>
      <x:c r="K6" s="6" t="str">
        <x:v>Price basis</x:v>
      </x:c>
      <x:c r="L6" s="6" t="str">
        <x:v>Notes</x:v>
      </x:c>
      <x:c r="M6" s="6" t="str">
        <x:v>Input query</x:v>
      </x:c>
    </x:row>
    <x:row r="7" ht="26" customHeight="1">
      <x:c r="A7" s="16"/>
      <x:c r="B7" s="7"/>
      <x:c r="C7" s="8"/>
      <x:c r="D7" s="7"/>
      <x:c r="E7" s="7"/>
      <x:c r="F7" s="7"/>
      <x:c r="G7" s="9"/>
      <x:c r="H7" s="7"/>
      <x:c r="I7" s="7"/>
      <x:c r="J7" s="7"/>
      <x:c r="K7" s="7"/>
      <x:c r="L7" s="7"/>
      <x:c r="M7" s="14" t="str">
        <x:f>IF(A7="","",IF(COUNTIF($A$7:$A$106,A7)&lt;&gt;1,"Duplicate rate ID",IF(NOT(ISNUMBER(C7)),"Missing numeric rate",IF(D7="","Missing unit",IF(E7="","Missing currency",IF(F7="","Missing geography",IF(G7="","Missing base date",IF(H7="","Missing rate source",IF(AND(K7&lt;&gt;"Supported",K7&lt;&gt;"Scenario"),"Unpriced or invalid price basis","")))))))))</x:f>
      </x:c>
    </x:row>
    <x:row r="8" ht="26" customHeight="1">
      <x:c r="A8" s="16"/>
      <x:c r="B8" s="7"/>
      <x:c r="C8" s="8"/>
      <x:c r="D8" s="7"/>
      <x:c r="E8" s="7"/>
      <x:c r="F8" s="7"/>
      <x:c r="G8" s="9"/>
      <x:c r="H8" s="7"/>
      <x:c r="I8" s="7"/>
      <x:c r="J8" s="7"/>
      <x:c r="K8" s="7"/>
      <x:c r="L8" s="7"/>
      <x:c r="M8" s="14" t="str">
        <x:f>IF(A8="","",IF(COUNTIF($A$7:$A$106,A8)&lt;&gt;1,"Duplicate rate ID",IF(NOT(ISNUMBER(C8)),"Missing numeric rate",IF(D8="","Missing unit",IF(E8="","Missing currency",IF(F8="","Missing geography",IF(G8="","Missing base date",IF(H8="","Missing rate source",IF(AND(K8&lt;&gt;"Supported",K8&lt;&gt;"Scenario"),"Unpriced or invalid price basis","")))))))))</x:f>
      </x:c>
    </x:row>
    <x:row r="9" ht="26" customHeight="1">
      <x:c r="A9" s="16"/>
      <x:c r="B9" s="7"/>
      <x:c r="C9" s="8"/>
      <x:c r="D9" s="7"/>
      <x:c r="E9" s="7"/>
      <x:c r="F9" s="7"/>
      <x:c r="G9" s="9"/>
      <x:c r="H9" s="7"/>
      <x:c r="I9" s="7"/>
      <x:c r="J9" s="7"/>
      <x:c r="K9" s="7"/>
      <x:c r="L9" s="7"/>
      <x:c r="M9" s="14" t="str">
        <x:f>IF(A9="","",IF(COUNTIF($A$7:$A$106,A9)&lt;&gt;1,"Duplicate rate ID",IF(NOT(ISNUMBER(C9)),"Missing numeric rate",IF(D9="","Missing unit",IF(E9="","Missing currency",IF(F9="","Missing geography",IF(G9="","Missing base date",IF(H9="","Missing rate source",IF(AND(K9&lt;&gt;"Supported",K9&lt;&gt;"Scenario"),"Unpriced or invalid price basis","")))))))))</x:f>
      </x:c>
    </x:row>
    <x:row r="10" ht="26" customHeight="1">
      <x:c r="A10" s="16"/>
      <x:c r="B10" s="7"/>
      <x:c r="C10" s="8"/>
      <x:c r="D10" s="7"/>
      <x:c r="E10" s="7"/>
      <x:c r="F10" s="7"/>
      <x:c r="G10" s="9"/>
      <x:c r="H10" s="7"/>
      <x:c r="I10" s="7"/>
      <x:c r="J10" s="7"/>
      <x:c r="K10" s="7"/>
      <x:c r="L10" s="7"/>
      <x:c r="M10" s="14" t="str">
        <x:f>IF(A10="","",IF(COUNTIF($A$7:$A$106,A10)&lt;&gt;1,"Duplicate rate ID",IF(NOT(ISNUMBER(C10)),"Missing numeric rate",IF(D10="","Missing unit",IF(E10="","Missing currency",IF(F10="","Missing geography",IF(G10="","Missing base date",IF(H10="","Missing rate source",IF(AND(K10&lt;&gt;"Supported",K10&lt;&gt;"Scenario"),"Unpriced or invalid price basis","")))))))))</x:f>
      </x:c>
    </x:row>
    <x:row r="11" ht="26" customHeight="1">
      <x:c r="A11" s="16"/>
      <x:c r="B11" s="7"/>
      <x:c r="C11" s="8"/>
      <x:c r="D11" s="7"/>
      <x:c r="E11" s="7"/>
      <x:c r="F11" s="7"/>
      <x:c r="G11" s="9"/>
      <x:c r="H11" s="7"/>
      <x:c r="I11" s="7"/>
      <x:c r="J11" s="7"/>
      <x:c r="K11" s="7"/>
      <x:c r="L11" s="7"/>
      <x:c r="M11" s="14" t="str">
        <x:f>IF(A11="","",IF(COUNTIF($A$7:$A$106,A11)&lt;&gt;1,"Duplicate rate ID",IF(NOT(ISNUMBER(C11)),"Missing numeric rate",IF(D11="","Missing unit",IF(E11="","Missing currency",IF(F11="","Missing geography",IF(G11="","Missing base date",IF(H11="","Missing rate source",IF(AND(K11&lt;&gt;"Supported",K11&lt;&gt;"Scenario"),"Unpriced or invalid price basis","")))))))))</x:f>
      </x:c>
    </x:row>
    <x:row r="12" ht="26" customHeight="1">
      <x:c r="A12" s="16"/>
      <x:c r="B12" s="7"/>
      <x:c r="C12" s="8"/>
      <x:c r="D12" s="7"/>
      <x:c r="E12" s="7"/>
      <x:c r="F12" s="7"/>
      <x:c r="G12" s="9"/>
      <x:c r="H12" s="7"/>
      <x:c r="I12" s="7"/>
      <x:c r="J12" s="7"/>
      <x:c r="K12" s="7"/>
      <x:c r="L12" s="7"/>
      <x:c r="M12" s="14" t="str">
        <x:f>IF(A12="","",IF(COUNTIF($A$7:$A$106,A12)&lt;&gt;1,"Duplicate rate ID",IF(NOT(ISNUMBER(C12)),"Missing numeric rate",IF(D12="","Missing unit",IF(E12="","Missing currency",IF(F12="","Missing geography",IF(G12="","Missing base date",IF(H12="","Missing rate source",IF(AND(K12&lt;&gt;"Supported",K12&lt;&gt;"Scenario"),"Unpriced or invalid price basis","")))))))))</x:f>
      </x:c>
    </x:row>
    <x:row r="13" ht="26" customHeight="1">
      <x:c r="A13" s="16"/>
      <x:c r="B13" s="7"/>
      <x:c r="C13" s="8"/>
      <x:c r="D13" s="7"/>
      <x:c r="E13" s="7"/>
      <x:c r="F13" s="7"/>
      <x:c r="G13" s="9"/>
      <x:c r="H13" s="7"/>
      <x:c r="I13" s="7"/>
      <x:c r="J13" s="7"/>
      <x:c r="K13" s="7"/>
      <x:c r="L13" s="7"/>
      <x:c r="M13" s="14" t="str">
        <x:f>IF(A13="","",IF(COUNTIF($A$7:$A$106,A13)&lt;&gt;1,"Duplicate rate ID",IF(NOT(ISNUMBER(C13)),"Missing numeric rate",IF(D13="","Missing unit",IF(E13="","Missing currency",IF(F13="","Missing geography",IF(G13="","Missing base date",IF(H13="","Missing rate source",IF(AND(K13&lt;&gt;"Supported",K13&lt;&gt;"Scenario"),"Unpriced or invalid price basis","")))))))))</x:f>
      </x:c>
    </x:row>
    <x:row r="14" ht="26" customHeight="1">
      <x:c r="A14" s="16"/>
      <x:c r="B14" s="7"/>
      <x:c r="C14" s="8"/>
      <x:c r="D14" s="7"/>
      <x:c r="E14" s="7"/>
      <x:c r="F14" s="7"/>
      <x:c r="G14" s="9"/>
      <x:c r="H14" s="7"/>
      <x:c r="I14" s="7"/>
      <x:c r="J14" s="7"/>
      <x:c r="K14" s="7"/>
      <x:c r="L14" s="7"/>
      <x:c r="M14" s="14" t="str">
        <x:f>IF(A14="","",IF(COUNTIF($A$7:$A$106,A14)&lt;&gt;1,"Duplicate rate ID",IF(NOT(ISNUMBER(C14)),"Missing numeric rate",IF(D14="","Missing unit",IF(E14="","Missing currency",IF(F14="","Missing geography",IF(G14="","Missing base date",IF(H14="","Missing rate source",IF(AND(K14&lt;&gt;"Supported",K14&lt;&gt;"Scenario"),"Unpriced or invalid price basis","")))))))))</x:f>
      </x:c>
    </x:row>
    <x:row r="15" ht="26" customHeight="1">
      <x:c r="A15" s="16"/>
      <x:c r="B15" s="7"/>
      <x:c r="C15" s="8"/>
      <x:c r="D15" s="7"/>
      <x:c r="E15" s="7"/>
      <x:c r="F15" s="7"/>
      <x:c r="G15" s="9"/>
      <x:c r="H15" s="7"/>
      <x:c r="I15" s="7"/>
      <x:c r="J15" s="7"/>
      <x:c r="K15" s="7"/>
      <x:c r="L15" s="7"/>
      <x:c r="M15" s="14" t="str">
        <x:f>IF(A15="","",IF(COUNTIF($A$7:$A$106,A15)&lt;&gt;1,"Duplicate rate ID",IF(NOT(ISNUMBER(C15)),"Missing numeric rate",IF(D15="","Missing unit",IF(E15="","Missing currency",IF(F15="","Missing geography",IF(G15="","Missing base date",IF(H15="","Missing rate source",IF(AND(K15&lt;&gt;"Supported",K15&lt;&gt;"Scenario"),"Unpriced or invalid price basis","")))))))))</x:f>
      </x:c>
    </x:row>
    <x:row r="16" ht="26" customHeight="1">
      <x:c r="A16" s="16"/>
      <x:c r="B16" s="7"/>
      <x:c r="C16" s="8"/>
      <x:c r="D16" s="7"/>
      <x:c r="E16" s="7"/>
      <x:c r="F16" s="7"/>
      <x:c r="G16" s="9"/>
      <x:c r="H16" s="7"/>
      <x:c r="I16" s="7"/>
      <x:c r="J16" s="7"/>
      <x:c r="K16" s="7"/>
      <x:c r="L16" s="7"/>
      <x:c r="M16" s="14" t="str">
        <x:f>IF(A16="","",IF(COUNTIF($A$7:$A$106,A16)&lt;&gt;1,"Duplicate rate ID",IF(NOT(ISNUMBER(C16)),"Missing numeric rate",IF(D16="","Missing unit",IF(E16="","Missing currency",IF(F16="","Missing geography",IF(G16="","Missing base date",IF(H16="","Missing rate source",IF(AND(K16&lt;&gt;"Supported",K16&lt;&gt;"Scenario"),"Unpriced or invalid price basis","")))))))))</x:f>
      </x:c>
    </x:row>
    <x:row r="17" ht="26" customHeight="1">
      <x:c r="A17" s="16"/>
      <x:c r="B17" s="7"/>
      <x:c r="C17" s="8"/>
      <x:c r="D17" s="7"/>
      <x:c r="E17" s="7"/>
      <x:c r="F17" s="7"/>
      <x:c r="G17" s="9"/>
      <x:c r="H17" s="7"/>
      <x:c r="I17" s="7"/>
      <x:c r="J17" s="7"/>
      <x:c r="K17" s="7"/>
      <x:c r="L17" s="7"/>
      <x:c r="M17" s="14" t="str">
        <x:f>IF(A17="","",IF(COUNTIF($A$7:$A$106,A17)&lt;&gt;1,"Duplicate rate ID",IF(NOT(ISNUMBER(C17)),"Missing numeric rate",IF(D17="","Missing unit",IF(E17="","Missing currency",IF(F17="","Missing geography",IF(G17="","Missing base date",IF(H17="","Missing rate source",IF(AND(K17&lt;&gt;"Supported",K17&lt;&gt;"Scenario"),"Unpriced or invalid price basis","")))))))))</x:f>
      </x:c>
    </x:row>
    <x:row r="18" ht="26" customHeight="1">
      <x:c r="A18" s="16"/>
      <x:c r="B18" s="7"/>
      <x:c r="C18" s="8"/>
      <x:c r="D18" s="7"/>
      <x:c r="E18" s="7"/>
      <x:c r="F18" s="7"/>
      <x:c r="G18" s="9"/>
      <x:c r="H18" s="7"/>
      <x:c r="I18" s="7"/>
      <x:c r="J18" s="7"/>
      <x:c r="K18" s="7"/>
      <x:c r="L18" s="7"/>
      <x:c r="M18" s="14" t="str">
        <x:f>IF(A18="","",IF(COUNTIF($A$7:$A$106,A18)&lt;&gt;1,"Duplicate rate ID",IF(NOT(ISNUMBER(C18)),"Missing numeric rate",IF(D18="","Missing unit",IF(E18="","Missing currency",IF(F18="","Missing geography",IF(G18="","Missing base date",IF(H18="","Missing rate source",IF(AND(K18&lt;&gt;"Supported",K18&lt;&gt;"Scenario"),"Unpriced or invalid price basis","")))))))))</x:f>
      </x:c>
    </x:row>
    <x:row r="19" ht="26" customHeight="1">
      <x:c r="A19" s="16"/>
      <x:c r="B19" s="7"/>
      <x:c r="C19" s="8"/>
      <x:c r="D19" s="7"/>
      <x:c r="E19" s="7"/>
      <x:c r="F19" s="7"/>
      <x:c r="G19" s="9"/>
      <x:c r="H19" s="7"/>
      <x:c r="I19" s="7"/>
      <x:c r="J19" s="7"/>
      <x:c r="K19" s="7"/>
      <x:c r="L19" s="7"/>
      <x:c r="M19" s="14" t="str">
        <x:f>IF(A19="","",IF(COUNTIF($A$7:$A$106,A19)&lt;&gt;1,"Duplicate rate ID",IF(NOT(ISNUMBER(C19)),"Missing numeric rate",IF(D19="","Missing unit",IF(E19="","Missing currency",IF(F19="","Missing geography",IF(G19="","Missing base date",IF(H19="","Missing rate source",IF(AND(K19&lt;&gt;"Supported",K19&lt;&gt;"Scenario"),"Unpriced or invalid price basis","")))))))))</x:f>
      </x:c>
    </x:row>
    <x:row r="20" ht="26" customHeight="1">
      <x:c r="A20" s="16"/>
      <x:c r="B20" s="7"/>
      <x:c r="C20" s="8"/>
      <x:c r="D20" s="7"/>
      <x:c r="E20" s="7"/>
      <x:c r="F20" s="7"/>
      <x:c r="G20" s="9"/>
      <x:c r="H20" s="7"/>
      <x:c r="I20" s="7"/>
      <x:c r="J20" s="7"/>
      <x:c r="K20" s="7"/>
      <x:c r="L20" s="7"/>
      <x:c r="M20" s="14" t="str">
        <x:f>IF(A20="","",IF(COUNTIF($A$7:$A$106,A20)&lt;&gt;1,"Duplicate rate ID",IF(NOT(ISNUMBER(C20)),"Missing numeric rate",IF(D20="","Missing unit",IF(E20="","Missing currency",IF(F20="","Missing geography",IF(G20="","Missing base date",IF(H20="","Missing rate source",IF(AND(K20&lt;&gt;"Supported",K20&lt;&gt;"Scenario"),"Unpriced or invalid price basis","")))))))))</x:f>
      </x:c>
    </x:row>
    <x:row r="21" ht="26" customHeight="1">
      <x:c r="A21" s="16"/>
      <x:c r="B21" s="7"/>
      <x:c r="C21" s="8"/>
      <x:c r="D21" s="7"/>
      <x:c r="E21" s="7"/>
      <x:c r="F21" s="7"/>
      <x:c r="G21" s="9"/>
      <x:c r="H21" s="7"/>
      <x:c r="I21" s="7"/>
      <x:c r="J21" s="7"/>
      <x:c r="K21" s="7"/>
      <x:c r="L21" s="7"/>
      <x:c r="M21" s="14" t="str">
        <x:f>IF(A21="","",IF(COUNTIF($A$7:$A$106,A21)&lt;&gt;1,"Duplicate rate ID",IF(NOT(ISNUMBER(C21)),"Missing numeric rate",IF(D21="","Missing unit",IF(E21="","Missing currency",IF(F21="","Missing geography",IF(G21="","Missing base date",IF(H21="","Missing rate source",IF(AND(K21&lt;&gt;"Supported",K21&lt;&gt;"Scenario"),"Unpriced or invalid price basis","")))))))))</x:f>
      </x:c>
    </x:row>
    <x:row r="22" ht="26" customHeight="1">
      <x:c r="A22" s="16"/>
      <x:c r="B22" s="7"/>
      <x:c r="C22" s="8"/>
      <x:c r="D22" s="7"/>
      <x:c r="E22" s="7"/>
      <x:c r="F22" s="7"/>
      <x:c r="G22" s="9"/>
      <x:c r="H22" s="7"/>
      <x:c r="I22" s="7"/>
      <x:c r="J22" s="7"/>
      <x:c r="K22" s="7"/>
      <x:c r="L22" s="7"/>
      <x:c r="M22" s="14" t="str">
        <x:f>IF(A22="","",IF(COUNTIF($A$7:$A$106,A22)&lt;&gt;1,"Duplicate rate ID",IF(NOT(ISNUMBER(C22)),"Missing numeric rate",IF(D22="","Missing unit",IF(E22="","Missing currency",IF(F22="","Missing geography",IF(G22="","Missing base date",IF(H22="","Missing rate source",IF(AND(K22&lt;&gt;"Supported",K22&lt;&gt;"Scenario"),"Unpriced or invalid price basis","")))))))))</x:f>
      </x:c>
    </x:row>
    <x:row r="23" ht="26" customHeight="1">
      <x:c r="A23" s="16"/>
      <x:c r="B23" s="7"/>
      <x:c r="C23" s="8"/>
      <x:c r="D23" s="7"/>
      <x:c r="E23" s="7"/>
      <x:c r="F23" s="7"/>
      <x:c r="G23" s="9"/>
      <x:c r="H23" s="7"/>
      <x:c r="I23" s="7"/>
      <x:c r="J23" s="7"/>
      <x:c r="K23" s="7"/>
      <x:c r="L23" s="7"/>
      <x:c r="M23" s="14" t="str">
        <x:f>IF(A23="","",IF(COUNTIF($A$7:$A$106,A23)&lt;&gt;1,"Duplicate rate ID",IF(NOT(ISNUMBER(C23)),"Missing numeric rate",IF(D23="","Missing unit",IF(E23="","Missing currency",IF(F23="","Missing geography",IF(G23="","Missing base date",IF(H23="","Missing rate source",IF(AND(K23&lt;&gt;"Supported",K23&lt;&gt;"Scenario"),"Unpriced or invalid price basis","")))))))))</x:f>
      </x:c>
    </x:row>
    <x:row r="24" ht="26" customHeight="1">
      <x:c r="A24" s="16"/>
      <x:c r="B24" s="7"/>
      <x:c r="C24" s="8"/>
      <x:c r="D24" s="7"/>
      <x:c r="E24" s="7"/>
      <x:c r="F24" s="7"/>
      <x:c r="G24" s="9"/>
      <x:c r="H24" s="7"/>
      <x:c r="I24" s="7"/>
      <x:c r="J24" s="7"/>
      <x:c r="K24" s="7"/>
      <x:c r="L24" s="7"/>
      <x:c r="M24" s="14" t="str">
        <x:f>IF(A24="","",IF(COUNTIF($A$7:$A$106,A24)&lt;&gt;1,"Duplicate rate ID",IF(NOT(ISNUMBER(C24)),"Missing numeric rate",IF(D24="","Missing unit",IF(E24="","Missing currency",IF(F24="","Missing geography",IF(G24="","Missing base date",IF(H24="","Missing rate source",IF(AND(K24&lt;&gt;"Supported",K24&lt;&gt;"Scenario"),"Unpriced or invalid price basis","")))))))))</x:f>
      </x:c>
    </x:row>
    <x:row r="25" ht="26" customHeight="1">
      <x:c r="A25" s="16"/>
      <x:c r="B25" s="7"/>
      <x:c r="C25" s="8"/>
      <x:c r="D25" s="7"/>
      <x:c r="E25" s="7"/>
      <x:c r="F25" s="7"/>
      <x:c r="G25" s="9"/>
      <x:c r="H25" s="7"/>
      <x:c r="I25" s="7"/>
      <x:c r="J25" s="7"/>
      <x:c r="K25" s="7"/>
      <x:c r="L25" s="7"/>
      <x:c r="M25" s="14" t="str">
        <x:f>IF(A25="","",IF(COUNTIF($A$7:$A$106,A25)&lt;&gt;1,"Duplicate rate ID",IF(NOT(ISNUMBER(C25)),"Missing numeric rate",IF(D25="","Missing unit",IF(E25="","Missing currency",IF(F25="","Missing geography",IF(G25="","Missing base date",IF(H25="","Missing rate source",IF(AND(K25&lt;&gt;"Supported",K25&lt;&gt;"Scenario"),"Unpriced or invalid price basis","")))))))))</x:f>
      </x:c>
    </x:row>
    <x:row r="26" ht="26" customHeight="1">
      <x:c r="A26" s="16"/>
      <x:c r="B26" s="7"/>
      <x:c r="C26" s="8"/>
      <x:c r="D26" s="7"/>
      <x:c r="E26" s="7"/>
      <x:c r="F26" s="7"/>
      <x:c r="G26" s="9"/>
      <x:c r="H26" s="7"/>
      <x:c r="I26" s="7"/>
      <x:c r="J26" s="7"/>
      <x:c r="K26" s="7"/>
      <x:c r="L26" s="7"/>
      <x:c r="M26" s="14" t="str">
        <x:f>IF(A26="","",IF(COUNTIF($A$7:$A$106,A26)&lt;&gt;1,"Duplicate rate ID",IF(NOT(ISNUMBER(C26)),"Missing numeric rate",IF(D26="","Missing unit",IF(E26="","Missing currency",IF(F26="","Missing geography",IF(G26="","Missing base date",IF(H26="","Missing rate source",IF(AND(K26&lt;&gt;"Supported",K26&lt;&gt;"Scenario"),"Unpriced or invalid price basis","")))))))))</x:f>
      </x:c>
    </x:row>
    <x:row r="27" ht="26" customHeight="1">
      <x:c r="A27" s="16"/>
      <x:c r="B27" s="7"/>
      <x:c r="C27" s="8"/>
      <x:c r="D27" s="7"/>
      <x:c r="E27" s="7"/>
      <x:c r="F27" s="7"/>
      <x:c r="G27" s="9"/>
      <x:c r="H27" s="7"/>
      <x:c r="I27" s="7"/>
      <x:c r="J27" s="7"/>
      <x:c r="K27" s="7"/>
      <x:c r="L27" s="7"/>
      <x:c r="M27" s="14" t="str">
        <x:f>IF(A27="","",IF(COUNTIF($A$7:$A$106,A27)&lt;&gt;1,"Duplicate rate ID",IF(NOT(ISNUMBER(C27)),"Missing numeric rate",IF(D27="","Missing unit",IF(E27="","Missing currency",IF(F27="","Missing geography",IF(G27="","Missing base date",IF(H27="","Missing rate source",IF(AND(K27&lt;&gt;"Supported",K27&lt;&gt;"Scenario"),"Unpriced or invalid price basis","")))))))))</x:f>
      </x:c>
    </x:row>
    <x:row r="28" ht="26" customHeight="1">
      <x:c r="A28" s="16"/>
      <x:c r="B28" s="7"/>
      <x:c r="C28" s="8"/>
      <x:c r="D28" s="7"/>
      <x:c r="E28" s="7"/>
      <x:c r="F28" s="7"/>
      <x:c r="G28" s="9"/>
      <x:c r="H28" s="7"/>
      <x:c r="I28" s="7"/>
      <x:c r="J28" s="7"/>
      <x:c r="K28" s="7"/>
      <x:c r="L28" s="7"/>
      <x:c r="M28" s="14" t="str">
        <x:f>IF(A28="","",IF(COUNTIF($A$7:$A$106,A28)&lt;&gt;1,"Duplicate rate ID",IF(NOT(ISNUMBER(C28)),"Missing numeric rate",IF(D28="","Missing unit",IF(E28="","Missing currency",IF(F28="","Missing geography",IF(G28="","Missing base date",IF(H28="","Missing rate source",IF(AND(K28&lt;&gt;"Supported",K28&lt;&gt;"Scenario"),"Unpriced or invalid price basis","")))))))))</x:f>
      </x:c>
    </x:row>
    <x:row r="29" ht="26" customHeight="1">
      <x:c r="A29" s="16"/>
      <x:c r="B29" s="7"/>
      <x:c r="C29" s="8"/>
      <x:c r="D29" s="7"/>
      <x:c r="E29" s="7"/>
      <x:c r="F29" s="7"/>
      <x:c r="G29" s="9"/>
      <x:c r="H29" s="7"/>
      <x:c r="I29" s="7"/>
      <x:c r="J29" s="7"/>
      <x:c r="K29" s="7"/>
      <x:c r="L29" s="7"/>
      <x:c r="M29" s="14" t="str">
        <x:f>IF(A29="","",IF(COUNTIF($A$7:$A$106,A29)&lt;&gt;1,"Duplicate rate ID",IF(NOT(ISNUMBER(C29)),"Missing numeric rate",IF(D29="","Missing unit",IF(E29="","Missing currency",IF(F29="","Missing geography",IF(G29="","Missing base date",IF(H29="","Missing rate source",IF(AND(K29&lt;&gt;"Supported",K29&lt;&gt;"Scenario"),"Unpriced or invalid price basis","")))))))))</x:f>
      </x:c>
    </x:row>
    <x:row r="30" ht="26" customHeight="1">
      <x:c r="A30" s="16"/>
      <x:c r="B30" s="7"/>
      <x:c r="C30" s="8"/>
      <x:c r="D30" s="7"/>
      <x:c r="E30" s="7"/>
      <x:c r="F30" s="7"/>
      <x:c r="G30" s="9"/>
      <x:c r="H30" s="7"/>
      <x:c r="I30" s="7"/>
      <x:c r="J30" s="7"/>
      <x:c r="K30" s="7"/>
      <x:c r="L30" s="7"/>
      <x:c r="M30" s="14" t="str">
        <x:f>IF(A30="","",IF(COUNTIF($A$7:$A$106,A30)&lt;&gt;1,"Duplicate rate ID",IF(NOT(ISNUMBER(C30)),"Missing numeric rate",IF(D30="","Missing unit",IF(E30="","Missing currency",IF(F30="","Missing geography",IF(G30="","Missing base date",IF(H30="","Missing rate source",IF(AND(K30&lt;&gt;"Supported",K30&lt;&gt;"Scenario"),"Unpriced or invalid price basis","")))))))))</x:f>
      </x:c>
    </x:row>
    <x:row r="31" ht="26" customHeight="1">
      <x:c r="A31" s="16"/>
      <x:c r="B31" s="7"/>
      <x:c r="C31" s="8"/>
      <x:c r="D31" s="7"/>
      <x:c r="E31" s="7"/>
      <x:c r="F31" s="7"/>
      <x:c r="G31" s="9"/>
      <x:c r="H31" s="7"/>
      <x:c r="I31" s="7"/>
      <x:c r="J31" s="7"/>
      <x:c r="K31" s="7"/>
      <x:c r="L31" s="7"/>
      <x:c r="M31" s="14" t="str">
        <x:f>IF(A31="","",IF(COUNTIF($A$7:$A$106,A31)&lt;&gt;1,"Duplicate rate ID",IF(NOT(ISNUMBER(C31)),"Missing numeric rate",IF(D31="","Missing unit",IF(E31="","Missing currency",IF(F31="","Missing geography",IF(G31="","Missing base date",IF(H31="","Missing rate source",IF(AND(K31&lt;&gt;"Supported",K31&lt;&gt;"Scenario"),"Unpriced or invalid price basis","")))))))))</x:f>
      </x:c>
    </x:row>
    <x:row r="32" ht="26" customHeight="1">
      <x:c r="A32" s="16"/>
      <x:c r="B32" s="7"/>
      <x:c r="C32" s="8"/>
      <x:c r="D32" s="7"/>
      <x:c r="E32" s="7"/>
      <x:c r="F32" s="7"/>
      <x:c r="G32" s="9"/>
      <x:c r="H32" s="7"/>
      <x:c r="I32" s="7"/>
      <x:c r="J32" s="7"/>
      <x:c r="K32" s="7"/>
      <x:c r="L32" s="7"/>
      <x:c r="M32" s="14" t="str">
        <x:f>IF(A32="","",IF(COUNTIF($A$7:$A$106,A32)&lt;&gt;1,"Duplicate rate ID",IF(NOT(ISNUMBER(C32)),"Missing numeric rate",IF(D32="","Missing unit",IF(E32="","Missing currency",IF(F32="","Missing geography",IF(G32="","Missing base date",IF(H32="","Missing rate source",IF(AND(K32&lt;&gt;"Supported",K32&lt;&gt;"Scenario"),"Unpriced or invalid price basis","")))))))))</x:f>
      </x:c>
    </x:row>
    <x:row r="33" ht="26" customHeight="1">
      <x:c r="A33" s="16"/>
      <x:c r="B33" s="7"/>
      <x:c r="C33" s="8"/>
      <x:c r="D33" s="7"/>
      <x:c r="E33" s="7"/>
      <x:c r="F33" s="7"/>
      <x:c r="G33" s="9"/>
      <x:c r="H33" s="7"/>
      <x:c r="I33" s="7"/>
      <x:c r="J33" s="7"/>
      <x:c r="K33" s="7"/>
      <x:c r="L33" s="7"/>
      <x:c r="M33" s="14" t="str">
        <x:f>IF(A33="","",IF(COUNTIF($A$7:$A$106,A33)&lt;&gt;1,"Duplicate rate ID",IF(NOT(ISNUMBER(C33)),"Missing numeric rate",IF(D33="","Missing unit",IF(E33="","Missing currency",IF(F33="","Missing geography",IF(G33="","Missing base date",IF(H33="","Missing rate source",IF(AND(K33&lt;&gt;"Supported",K33&lt;&gt;"Scenario"),"Unpriced or invalid price basis","")))))))))</x:f>
      </x:c>
    </x:row>
    <x:row r="34" ht="26" customHeight="1">
      <x:c r="A34" s="16"/>
      <x:c r="B34" s="7"/>
      <x:c r="C34" s="8"/>
      <x:c r="D34" s="7"/>
      <x:c r="E34" s="7"/>
      <x:c r="F34" s="7"/>
      <x:c r="G34" s="9"/>
      <x:c r="H34" s="7"/>
      <x:c r="I34" s="7"/>
      <x:c r="J34" s="7"/>
      <x:c r="K34" s="7"/>
      <x:c r="L34" s="7"/>
      <x:c r="M34" s="14" t="str">
        <x:f>IF(A34="","",IF(COUNTIF($A$7:$A$106,A34)&lt;&gt;1,"Duplicate rate ID",IF(NOT(ISNUMBER(C34)),"Missing numeric rate",IF(D34="","Missing unit",IF(E34="","Missing currency",IF(F34="","Missing geography",IF(G34="","Missing base date",IF(H34="","Missing rate source",IF(AND(K34&lt;&gt;"Supported",K34&lt;&gt;"Scenario"),"Unpriced or invalid price basis","")))))))))</x:f>
      </x:c>
    </x:row>
    <x:row r="35" ht="26" customHeight="1">
      <x:c r="A35" s="16"/>
      <x:c r="B35" s="7"/>
      <x:c r="C35" s="8"/>
      <x:c r="D35" s="7"/>
      <x:c r="E35" s="7"/>
      <x:c r="F35" s="7"/>
      <x:c r="G35" s="9"/>
      <x:c r="H35" s="7"/>
      <x:c r="I35" s="7"/>
      <x:c r="J35" s="7"/>
      <x:c r="K35" s="7"/>
      <x:c r="L35" s="7"/>
      <x:c r="M35" s="14" t="str">
        <x:f>IF(A35="","",IF(COUNTIF($A$7:$A$106,A35)&lt;&gt;1,"Duplicate rate ID",IF(NOT(ISNUMBER(C35)),"Missing numeric rate",IF(D35="","Missing unit",IF(E35="","Missing currency",IF(F35="","Missing geography",IF(G35="","Missing base date",IF(H35="","Missing rate source",IF(AND(K35&lt;&gt;"Supported",K35&lt;&gt;"Scenario"),"Unpriced or invalid price basis","")))))))))</x:f>
      </x:c>
    </x:row>
    <x:row r="36" ht="26" customHeight="1">
      <x:c r="A36" s="16"/>
      <x:c r="B36" s="7"/>
      <x:c r="C36" s="8"/>
      <x:c r="D36" s="7"/>
      <x:c r="E36" s="7"/>
      <x:c r="F36" s="7"/>
      <x:c r="G36" s="9"/>
      <x:c r="H36" s="7"/>
      <x:c r="I36" s="7"/>
      <x:c r="J36" s="7"/>
      <x:c r="K36" s="7"/>
      <x:c r="L36" s="7"/>
      <x:c r="M36" s="14" t="str">
        <x:f>IF(A36="","",IF(COUNTIF($A$7:$A$106,A36)&lt;&gt;1,"Duplicate rate ID",IF(NOT(ISNUMBER(C36)),"Missing numeric rate",IF(D36="","Missing unit",IF(E36="","Missing currency",IF(F36="","Missing geography",IF(G36="","Missing base date",IF(H36="","Missing rate source",IF(AND(K36&lt;&gt;"Supported",K36&lt;&gt;"Scenario"),"Unpriced or invalid price basis","")))))))))</x:f>
      </x:c>
    </x:row>
    <x:row r="37" ht="26" customHeight="1">
      <x:c r="A37" s="16"/>
      <x:c r="B37" s="7"/>
      <x:c r="C37" s="8"/>
      <x:c r="D37" s="7"/>
      <x:c r="E37" s="7"/>
      <x:c r="F37" s="7"/>
      <x:c r="G37" s="9"/>
      <x:c r="H37" s="7"/>
      <x:c r="I37" s="7"/>
      <x:c r="J37" s="7"/>
      <x:c r="K37" s="7"/>
      <x:c r="L37" s="7"/>
      <x:c r="M37" s="14" t="str">
        <x:f>IF(A37="","",IF(COUNTIF($A$7:$A$106,A37)&lt;&gt;1,"Duplicate rate ID",IF(NOT(ISNUMBER(C37)),"Missing numeric rate",IF(D37="","Missing unit",IF(E37="","Missing currency",IF(F37="","Missing geography",IF(G37="","Missing base date",IF(H37="","Missing rate source",IF(AND(K37&lt;&gt;"Supported",K37&lt;&gt;"Scenario"),"Unpriced or invalid price basis","")))))))))</x:f>
      </x:c>
    </x:row>
    <x:row r="38" ht="26" customHeight="1">
      <x:c r="A38" s="16"/>
      <x:c r="B38" s="7"/>
      <x:c r="C38" s="8"/>
      <x:c r="D38" s="7"/>
      <x:c r="E38" s="7"/>
      <x:c r="F38" s="7"/>
      <x:c r="G38" s="9"/>
      <x:c r="H38" s="7"/>
      <x:c r="I38" s="7"/>
      <x:c r="J38" s="7"/>
      <x:c r="K38" s="7"/>
      <x:c r="L38" s="7"/>
      <x:c r="M38" s="14" t="str">
        <x:f>IF(A38="","",IF(COUNTIF($A$7:$A$106,A38)&lt;&gt;1,"Duplicate rate ID",IF(NOT(ISNUMBER(C38)),"Missing numeric rate",IF(D38="","Missing unit",IF(E38="","Missing currency",IF(F38="","Missing geography",IF(G38="","Missing base date",IF(H38="","Missing rate source",IF(AND(K38&lt;&gt;"Supported",K38&lt;&gt;"Scenario"),"Unpriced or invalid price basis","")))))))))</x:f>
      </x:c>
    </x:row>
    <x:row r="39" ht="26" customHeight="1">
      <x:c r="A39" s="16"/>
      <x:c r="B39" s="7"/>
      <x:c r="C39" s="8"/>
      <x:c r="D39" s="7"/>
      <x:c r="E39" s="7"/>
      <x:c r="F39" s="7"/>
      <x:c r="G39" s="9"/>
      <x:c r="H39" s="7"/>
      <x:c r="I39" s="7"/>
      <x:c r="J39" s="7"/>
      <x:c r="K39" s="7"/>
      <x:c r="L39" s="7"/>
      <x:c r="M39" s="14" t="str">
        <x:f>IF(A39="","",IF(COUNTIF($A$7:$A$106,A39)&lt;&gt;1,"Duplicate rate ID",IF(NOT(ISNUMBER(C39)),"Missing numeric rate",IF(D39="","Missing unit",IF(E39="","Missing currency",IF(F39="","Missing geography",IF(G39="","Missing base date",IF(H39="","Missing rate source",IF(AND(K39&lt;&gt;"Supported",K39&lt;&gt;"Scenario"),"Unpriced or invalid price basis","")))))))))</x:f>
      </x:c>
    </x:row>
    <x:row r="40" ht="26" customHeight="1">
      <x:c r="A40" s="16"/>
      <x:c r="B40" s="7"/>
      <x:c r="C40" s="8"/>
      <x:c r="D40" s="7"/>
      <x:c r="E40" s="7"/>
      <x:c r="F40" s="7"/>
      <x:c r="G40" s="9"/>
      <x:c r="H40" s="7"/>
      <x:c r="I40" s="7"/>
      <x:c r="J40" s="7"/>
      <x:c r="K40" s="7"/>
      <x:c r="L40" s="7"/>
      <x:c r="M40" s="14" t="str">
        <x:f>IF(A40="","",IF(COUNTIF($A$7:$A$106,A40)&lt;&gt;1,"Duplicate rate ID",IF(NOT(ISNUMBER(C40)),"Missing numeric rate",IF(D40="","Missing unit",IF(E40="","Missing currency",IF(F40="","Missing geography",IF(G40="","Missing base date",IF(H40="","Missing rate source",IF(AND(K40&lt;&gt;"Supported",K40&lt;&gt;"Scenario"),"Unpriced or invalid price basis","")))))))))</x:f>
      </x:c>
    </x:row>
    <x:row r="41" ht="26" customHeight="1">
      <x:c r="A41" s="16"/>
      <x:c r="B41" s="7"/>
      <x:c r="C41" s="8"/>
      <x:c r="D41" s="7"/>
      <x:c r="E41" s="7"/>
      <x:c r="F41" s="7"/>
      <x:c r="G41" s="9"/>
      <x:c r="H41" s="7"/>
      <x:c r="I41" s="7"/>
      <x:c r="J41" s="7"/>
      <x:c r="K41" s="7"/>
      <x:c r="L41" s="7"/>
      <x:c r="M41" s="14" t="str">
        <x:f>IF(A41="","",IF(COUNTIF($A$7:$A$106,A41)&lt;&gt;1,"Duplicate rate ID",IF(NOT(ISNUMBER(C41)),"Missing numeric rate",IF(D41="","Missing unit",IF(E41="","Missing currency",IF(F41="","Missing geography",IF(G41="","Missing base date",IF(H41="","Missing rate source",IF(AND(K41&lt;&gt;"Supported",K41&lt;&gt;"Scenario"),"Unpriced or invalid price basis","")))))))))</x:f>
      </x:c>
    </x:row>
    <x:row r="42" ht="26" customHeight="1">
      <x:c r="A42" s="16"/>
      <x:c r="B42" s="7"/>
      <x:c r="C42" s="8"/>
      <x:c r="D42" s="7"/>
      <x:c r="E42" s="7"/>
      <x:c r="F42" s="7"/>
      <x:c r="G42" s="9"/>
      <x:c r="H42" s="7"/>
      <x:c r="I42" s="7"/>
      <x:c r="J42" s="7"/>
      <x:c r="K42" s="7"/>
      <x:c r="L42" s="7"/>
      <x:c r="M42" s="14" t="str">
        <x:f>IF(A42="","",IF(COUNTIF($A$7:$A$106,A42)&lt;&gt;1,"Duplicate rate ID",IF(NOT(ISNUMBER(C42)),"Missing numeric rate",IF(D42="","Missing unit",IF(E42="","Missing currency",IF(F42="","Missing geography",IF(G42="","Missing base date",IF(H42="","Missing rate source",IF(AND(K42&lt;&gt;"Supported",K42&lt;&gt;"Scenario"),"Unpriced or invalid price basis","")))))))))</x:f>
      </x:c>
    </x:row>
    <x:row r="43" ht="26" customHeight="1">
      <x:c r="A43" s="16"/>
      <x:c r="B43" s="7"/>
      <x:c r="C43" s="8"/>
      <x:c r="D43" s="7"/>
      <x:c r="E43" s="7"/>
      <x:c r="F43" s="7"/>
      <x:c r="G43" s="9"/>
      <x:c r="H43" s="7"/>
      <x:c r="I43" s="7"/>
      <x:c r="J43" s="7"/>
      <x:c r="K43" s="7"/>
      <x:c r="L43" s="7"/>
      <x:c r="M43" s="14" t="str">
        <x:f>IF(A43="","",IF(COUNTIF($A$7:$A$106,A43)&lt;&gt;1,"Duplicate rate ID",IF(NOT(ISNUMBER(C43)),"Missing numeric rate",IF(D43="","Missing unit",IF(E43="","Missing currency",IF(F43="","Missing geography",IF(G43="","Missing base date",IF(H43="","Missing rate source",IF(AND(K43&lt;&gt;"Supported",K43&lt;&gt;"Scenario"),"Unpriced or invalid price basis","")))))))))</x:f>
      </x:c>
    </x:row>
    <x:row r="44" ht="26" customHeight="1">
      <x:c r="A44" s="16"/>
      <x:c r="B44" s="7"/>
      <x:c r="C44" s="8"/>
      <x:c r="D44" s="7"/>
      <x:c r="E44" s="7"/>
      <x:c r="F44" s="7"/>
      <x:c r="G44" s="9"/>
      <x:c r="H44" s="7"/>
      <x:c r="I44" s="7"/>
      <x:c r="J44" s="7"/>
      <x:c r="K44" s="7"/>
      <x:c r="L44" s="7"/>
      <x:c r="M44" s="14" t="str">
        <x:f>IF(A44="","",IF(COUNTIF($A$7:$A$106,A44)&lt;&gt;1,"Duplicate rate ID",IF(NOT(ISNUMBER(C44)),"Missing numeric rate",IF(D44="","Missing unit",IF(E44="","Missing currency",IF(F44="","Missing geography",IF(G44="","Missing base date",IF(H44="","Missing rate source",IF(AND(K44&lt;&gt;"Supported",K44&lt;&gt;"Scenario"),"Unpriced or invalid price basis","")))))))))</x:f>
      </x:c>
    </x:row>
    <x:row r="45" ht="26" customHeight="1">
      <x:c r="A45" s="16"/>
      <x:c r="B45" s="7"/>
      <x:c r="C45" s="8"/>
      <x:c r="D45" s="7"/>
      <x:c r="E45" s="7"/>
      <x:c r="F45" s="7"/>
      <x:c r="G45" s="9"/>
      <x:c r="H45" s="7"/>
      <x:c r="I45" s="7"/>
      <x:c r="J45" s="7"/>
      <x:c r="K45" s="7"/>
      <x:c r="L45" s="7"/>
      <x:c r="M45" s="14" t="str">
        <x:f>IF(A45="","",IF(COUNTIF($A$7:$A$106,A45)&lt;&gt;1,"Duplicate rate ID",IF(NOT(ISNUMBER(C45)),"Missing numeric rate",IF(D45="","Missing unit",IF(E45="","Missing currency",IF(F45="","Missing geography",IF(G45="","Missing base date",IF(H45="","Missing rate source",IF(AND(K45&lt;&gt;"Supported",K45&lt;&gt;"Scenario"),"Unpriced or invalid price basis","")))))))))</x:f>
      </x:c>
    </x:row>
    <x:row r="46" ht="26" customHeight="1">
      <x:c r="A46" s="16"/>
      <x:c r="B46" s="7"/>
      <x:c r="C46" s="8"/>
      <x:c r="D46" s="7"/>
      <x:c r="E46" s="7"/>
      <x:c r="F46" s="7"/>
      <x:c r="G46" s="9"/>
      <x:c r="H46" s="7"/>
      <x:c r="I46" s="7"/>
      <x:c r="J46" s="7"/>
      <x:c r="K46" s="7"/>
      <x:c r="L46" s="7"/>
      <x:c r="M46" s="14" t="str">
        <x:f>IF(A46="","",IF(COUNTIF($A$7:$A$106,A46)&lt;&gt;1,"Duplicate rate ID",IF(NOT(ISNUMBER(C46)),"Missing numeric rate",IF(D46="","Missing unit",IF(E46="","Missing currency",IF(F46="","Missing geography",IF(G46="","Missing base date",IF(H46="","Missing rate source",IF(AND(K46&lt;&gt;"Supported",K46&lt;&gt;"Scenario"),"Unpriced or invalid price basis","")))))))))</x:f>
      </x:c>
    </x:row>
    <x:row r="47" ht="26" customHeight="1">
      <x:c r="A47" s="16"/>
      <x:c r="B47" s="7"/>
      <x:c r="C47" s="8"/>
      <x:c r="D47" s="7"/>
      <x:c r="E47" s="7"/>
      <x:c r="F47" s="7"/>
      <x:c r="G47" s="9"/>
      <x:c r="H47" s="7"/>
      <x:c r="I47" s="7"/>
      <x:c r="J47" s="7"/>
      <x:c r="K47" s="7"/>
      <x:c r="L47" s="7"/>
      <x:c r="M47" s="14" t="str">
        <x:f>IF(A47="","",IF(COUNTIF($A$7:$A$106,A47)&lt;&gt;1,"Duplicate rate ID",IF(NOT(ISNUMBER(C47)),"Missing numeric rate",IF(D47="","Missing unit",IF(E47="","Missing currency",IF(F47="","Missing geography",IF(G47="","Missing base date",IF(H47="","Missing rate source",IF(AND(K47&lt;&gt;"Supported",K47&lt;&gt;"Scenario"),"Unpriced or invalid price basis","")))))))))</x:f>
      </x:c>
    </x:row>
    <x:row r="48" ht="26" customHeight="1">
      <x:c r="A48" s="16"/>
      <x:c r="B48" s="7"/>
      <x:c r="C48" s="8"/>
      <x:c r="D48" s="7"/>
      <x:c r="E48" s="7"/>
      <x:c r="F48" s="7"/>
      <x:c r="G48" s="9"/>
      <x:c r="H48" s="7"/>
      <x:c r="I48" s="7"/>
      <x:c r="J48" s="7"/>
      <x:c r="K48" s="7"/>
      <x:c r="L48" s="7"/>
      <x:c r="M48" s="14" t="str">
        <x:f>IF(A48="","",IF(COUNTIF($A$7:$A$106,A48)&lt;&gt;1,"Duplicate rate ID",IF(NOT(ISNUMBER(C48)),"Missing numeric rate",IF(D48="","Missing unit",IF(E48="","Missing currency",IF(F48="","Missing geography",IF(G48="","Missing base date",IF(H48="","Missing rate source",IF(AND(K48&lt;&gt;"Supported",K48&lt;&gt;"Scenario"),"Unpriced or invalid price basis","")))))))))</x:f>
      </x:c>
    </x:row>
    <x:row r="49" ht="26" customHeight="1">
      <x:c r="A49" s="16"/>
      <x:c r="B49" s="7"/>
      <x:c r="C49" s="8"/>
      <x:c r="D49" s="7"/>
      <x:c r="E49" s="7"/>
      <x:c r="F49" s="7"/>
      <x:c r="G49" s="9"/>
      <x:c r="H49" s="7"/>
      <x:c r="I49" s="7"/>
      <x:c r="J49" s="7"/>
      <x:c r="K49" s="7"/>
      <x:c r="L49" s="7"/>
      <x:c r="M49" s="14" t="str">
        <x:f>IF(A49="","",IF(COUNTIF($A$7:$A$106,A49)&lt;&gt;1,"Duplicate rate ID",IF(NOT(ISNUMBER(C49)),"Missing numeric rate",IF(D49="","Missing unit",IF(E49="","Missing currency",IF(F49="","Missing geography",IF(G49="","Missing base date",IF(H49="","Missing rate source",IF(AND(K49&lt;&gt;"Supported",K49&lt;&gt;"Scenario"),"Unpriced or invalid price basis","")))))))))</x:f>
      </x:c>
    </x:row>
    <x:row r="50" ht="26" customHeight="1">
      <x:c r="A50" s="16"/>
      <x:c r="B50" s="7"/>
      <x:c r="C50" s="8"/>
      <x:c r="D50" s="7"/>
      <x:c r="E50" s="7"/>
      <x:c r="F50" s="7"/>
      <x:c r="G50" s="9"/>
      <x:c r="H50" s="7"/>
      <x:c r="I50" s="7"/>
      <x:c r="J50" s="7"/>
      <x:c r="K50" s="7"/>
      <x:c r="L50" s="7"/>
      <x:c r="M50" s="14" t="str">
        <x:f>IF(A50="","",IF(COUNTIF($A$7:$A$106,A50)&lt;&gt;1,"Duplicate rate ID",IF(NOT(ISNUMBER(C50)),"Missing numeric rate",IF(D50="","Missing unit",IF(E50="","Missing currency",IF(F50="","Missing geography",IF(G50="","Missing base date",IF(H50="","Missing rate source",IF(AND(K50&lt;&gt;"Supported",K50&lt;&gt;"Scenario"),"Unpriced or invalid price basis","")))))))))</x:f>
      </x:c>
    </x:row>
    <x:row r="51" ht="26" customHeight="1">
      <x:c r="A51" s="16"/>
      <x:c r="B51" s="7"/>
      <x:c r="C51" s="8"/>
      <x:c r="D51" s="7"/>
      <x:c r="E51" s="7"/>
      <x:c r="F51" s="7"/>
      <x:c r="G51" s="9"/>
      <x:c r="H51" s="7"/>
      <x:c r="I51" s="7"/>
      <x:c r="J51" s="7"/>
      <x:c r="K51" s="7"/>
      <x:c r="L51" s="7"/>
      <x:c r="M51" s="14" t="str">
        <x:f>IF(A51="","",IF(COUNTIF($A$7:$A$106,A51)&lt;&gt;1,"Duplicate rate ID",IF(NOT(ISNUMBER(C51)),"Missing numeric rate",IF(D51="","Missing unit",IF(E51="","Missing currency",IF(F51="","Missing geography",IF(G51="","Missing base date",IF(H51="","Missing rate source",IF(AND(K51&lt;&gt;"Supported",K51&lt;&gt;"Scenario"),"Unpriced or invalid price basis","")))))))))</x:f>
      </x:c>
    </x:row>
    <x:row r="52" ht="26" customHeight="1">
      <x:c r="A52" s="16"/>
      <x:c r="B52" s="7"/>
      <x:c r="C52" s="8"/>
      <x:c r="D52" s="7"/>
      <x:c r="E52" s="7"/>
      <x:c r="F52" s="7"/>
      <x:c r="G52" s="9"/>
      <x:c r="H52" s="7"/>
      <x:c r="I52" s="7"/>
      <x:c r="J52" s="7"/>
      <x:c r="K52" s="7"/>
      <x:c r="L52" s="7"/>
      <x:c r="M52" s="14" t="str">
        <x:f>IF(A52="","",IF(COUNTIF($A$7:$A$106,A52)&lt;&gt;1,"Duplicate rate ID",IF(NOT(ISNUMBER(C52)),"Missing numeric rate",IF(D52="","Missing unit",IF(E52="","Missing currency",IF(F52="","Missing geography",IF(G52="","Missing base date",IF(H52="","Missing rate source",IF(AND(K52&lt;&gt;"Supported",K52&lt;&gt;"Scenario"),"Unpriced or invalid price basis","")))))))))</x:f>
      </x:c>
    </x:row>
    <x:row r="53" ht="26" customHeight="1">
      <x:c r="A53" s="16"/>
      <x:c r="B53" s="7"/>
      <x:c r="C53" s="8"/>
      <x:c r="D53" s="7"/>
      <x:c r="E53" s="7"/>
      <x:c r="F53" s="7"/>
      <x:c r="G53" s="9"/>
      <x:c r="H53" s="7"/>
      <x:c r="I53" s="7"/>
      <x:c r="J53" s="7"/>
      <x:c r="K53" s="7"/>
      <x:c r="L53" s="7"/>
      <x:c r="M53" s="14" t="str">
        <x:f>IF(A53="","",IF(COUNTIF($A$7:$A$106,A53)&lt;&gt;1,"Duplicate rate ID",IF(NOT(ISNUMBER(C53)),"Missing numeric rate",IF(D53="","Missing unit",IF(E53="","Missing currency",IF(F53="","Missing geography",IF(G53="","Missing base date",IF(H53="","Missing rate source",IF(AND(K53&lt;&gt;"Supported",K53&lt;&gt;"Scenario"),"Unpriced or invalid price basis","")))))))))</x:f>
      </x:c>
    </x:row>
    <x:row r="54" ht="26" customHeight="1">
      <x:c r="A54" s="16"/>
      <x:c r="B54" s="7"/>
      <x:c r="C54" s="8"/>
      <x:c r="D54" s="7"/>
      <x:c r="E54" s="7"/>
      <x:c r="F54" s="7"/>
      <x:c r="G54" s="9"/>
      <x:c r="H54" s="7"/>
      <x:c r="I54" s="7"/>
      <x:c r="J54" s="7"/>
      <x:c r="K54" s="7"/>
      <x:c r="L54" s="7"/>
      <x:c r="M54" s="14" t="str">
        <x:f>IF(A54="","",IF(COUNTIF($A$7:$A$106,A54)&lt;&gt;1,"Duplicate rate ID",IF(NOT(ISNUMBER(C54)),"Missing numeric rate",IF(D54="","Missing unit",IF(E54="","Missing currency",IF(F54="","Missing geography",IF(G54="","Missing base date",IF(H54="","Missing rate source",IF(AND(K54&lt;&gt;"Supported",K54&lt;&gt;"Scenario"),"Unpriced or invalid price basis","")))))))))</x:f>
      </x:c>
    </x:row>
    <x:row r="55" ht="26" customHeight="1">
      <x:c r="A55" s="16"/>
      <x:c r="B55" s="7"/>
      <x:c r="C55" s="8"/>
      <x:c r="D55" s="7"/>
      <x:c r="E55" s="7"/>
      <x:c r="F55" s="7"/>
      <x:c r="G55" s="9"/>
      <x:c r="H55" s="7"/>
      <x:c r="I55" s="7"/>
      <x:c r="J55" s="7"/>
      <x:c r="K55" s="7"/>
      <x:c r="L55" s="7"/>
      <x:c r="M55" s="14" t="str">
        <x:f>IF(A55="","",IF(COUNTIF($A$7:$A$106,A55)&lt;&gt;1,"Duplicate rate ID",IF(NOT(ISNUMBER(C55)),"Missing numeric rate",IF(D55="","Missing unit",IF(E55="","Missing currency",IF(F55="","Missing geography",IF(G55="","Missing base date",IF(H55="","Missing rate source",IF(AND(K55&lt;&gt;"Supported",K55&lt;&gt;"Scenario"),"Unpriced or invalid price basis","")))))))))</x:f>
      </x:c>
    </x:row>
    <x:row r="56" ht="26" customHeight="1">
      <x:c r="A56" s="16"/>
      <x:c r="B56" s="7"/>
      <x:c r="C56" s="8"/>
      <x:c r="D56" s="7"/>
      <x:c r="E56" s="7"/>
      <x:c r="F56" s="7"/>
      <x:c r="G56" s="9"/>
      <x:c r="H56" s="7"/>
      <x:c r="I56" s="7"/>
      <x:c r="J56" s="7"/>
      <x:c r="K56" s="7"/>
      <x:c r="L56" s="7"/>
      <x:c r="M56" s="14" t="str">
        <x:f>IF(A56="","",IF(COUNTIF($A$7:$A$106,A56)&lt;&gt;1,"Duplicate rate ID",IF(NOT(ISNUMBER(C56)),"Missing numeric rate",IF(D56="","Missing unit",IF(E56="","Missing currency",IF(F56="","Missing geography",IF(G56="","Missing base date",IF(H56="","Missing rate source",IF(AND(K56&lt;&gt;"Supported",K56&lt;&gt;"Scenario"),"Unpriced or invalid price basis","")))))))))</x:f>
      </x:c>
    </x:row>
    <x:row r="57" ht="26" customHeight="1">
      <x:c r="A57" s="16"/>
      <x:c r="B57" s="7"/>
      <x:c r="C57" s="8"/>
      <x:c r="D57" s="7"/>
      <x:c r="E57" s="7"/>
      <x:c r="F57" s="7"/>
      <x:c r="G57" s="9"/>
      <x:c r="H57" s="7"/>
      <x:c r="I57" s="7"/>
      <x:c r="J57" s="7"/>
      <x:c r="K57" s="7"/>
      <x:c r="L57" s="7"/>
      <x:c r="M57" s="14" t="str">
        <x:f>IF(A57="","",IF(COUNTIF($A$7:$A$106,A57)&lt;&gt;1,"Duplicate rate ID",IF(NOT(ISNUMBER(C57)),"Missing numeric rate",IF(D57="","Missing unit",IF(E57="","Missing currency",IF(F57="","Missing geography",IF(G57="","Missing base date",IF(H57="","Missing rate source",IF(AND(K57&lt;&gt;"Supported",K57&lt;&gt;"Scenario"),"Unpriced or invalid price basis","")))))))))</x:f>
      </x:c>
    </x:row>
    <x:row r="58" ht="26" customHeight="1">
      <x:c r="A58" s="16"/>
      <x:c r="B58" s="7"/>
      <x:c r="C58" s="8"/>
      <x:c r="D58" s="7"/>
      <x:c r="E58" s="7"/>
      <x:c r="F58" s="7"/>
      <x:c r="G58" s="9"/>
      <x:c r="H58" s="7"/>
      <x:c r="I58" s="7"/>
      <x:c r="J58" s="7"/>
      <x:c r="K58" s="7"/>
      <x:c r="L58" s="7"/>
      <x:c r="M58" s="14" t="str">
        <x:f>IF(A58="","",IF(COUNTIF($A$7:$A$106,A58)&lt;&gt;1,"Duplicate rate ID",IF(NOT(ISNUMBER(C58)),"Missing numeric rate",IF(D58="","Missing unit",IF(E58="","Missing currency",IF(F58="","Missing geography",IF(G58="","Missing base date",IF(H58="","Missing rate source",IF(AND(K58&lt;&gt;"Supported",K58&lt;&gt;"Scenario"),"Unpriced or invalid price basis","")))))))))</x:f>
      </x:c>
    </x:row>
    <x:row r="59" ht="26" customHeight="1">
      <x:c r="A59" s="16"/>
      <x:c r="B59" s="7"/>
      <x:c r="C59" s="8"/>
      <x:c r="D59" s="7"/>
      <x:c r="E59" s="7"/>
      <x:c r="F59" s="7"/>
      <x:c r="G59" s="9"/>
      <x:c r="H59" s="7"/>
      <x:c r="I59" s="7"/>
      <x:c r="J59" s="7"/>
      <x:c r="K59" s="7"/>
      <x:c r="L59" s="7"/>
      <x:c r="M59" s="14" t="str">
        <x:f>IF(A59="","",IF(COUNTIF($A$7:$A$106,A59)&lt;&gt;1,"Duplicate rate ID",IF(NOT(ISNUMBER(C59)),"Missing numeric rate",IF(D59="","Missing unit",IF(E59="","Missing currency",IF(F59="","Missing geography",IF(G59="","Missing base date",IF(H59="","Missing rate source",IF(AND(K59&lt;&gt;"Supported",K59&lt;&gt;"Scenario"),"Unpriced or invalid price basis","")))))))))</x:f>
      </x:c>
    </x:row>
    <x:row r="60" ht="26" customHeight="1">
      <x:c r="A60" s="16"/>
      <x:c r="B60" s="7"/>
      <x:c r="C60" s="8"/>
      <x:c r="D60" s="7"/>
      <x:c r="E60" s="7"/>
      <x:c r="F60" s="7"/>
      <x:c r="G60" s="9"/>
      <x:c r="H60" s="7"/>
      <x:c r="I60" s="7"/>
      <x:c r="J60" s="7"/>
      <x:c r="K60" s="7"/>
      <x:c r="L60" s="7"/>
      <x:c r="M60" s="14" t="str">
        <x:f>IF(A60="","",IF(COUNTIF($A$7:$A$106,A60)&lt;&gt;1,"Duplicate rate ID",IF(NOT(ISNUMBER(C60)),"Missing numeric rate",IF(D60="","Missing unit",IF(E60="","Missing currency",IF(F60="","Missing geography",IF(G60="","Missing base date",IF(H60="","Missing rate source",IF(AND(K60&lt;&gt;"Supported",K60&lt;&gt;"Scenario"),"Unpriced or invalid price basis","")))))))))</x:f>
      </x:c>
    </x:row>
    <x:row r="61" ht="26" customHeight="1">
      <x:c r="A61" s="16"/>
      <x:c r="B61" s="7"/>
      <x:c r="C61" s="8"/>
      <x:c r="D61" s="7"/>
      <x:c r="E61" s="7"/>
      <x:c r="F61" s="7"/>
      <x:c r="G61" s="9"/>
      <x:c r="H61" s="7"/>
      <x:c r="I61" s="7"/>
      <x:c r="J61" s="7"/>
      <x:c r="K61" s="7"/>
      <x:c r="L61" s="7"/>
      <x:c r="M61" s="14" t="str">
        <x:f>IF(A61="","",IF(COUNTIF($A$7:$A$106,A61)&lt;&gt;1,"Duplicate rate ID",IF(NOT(ISNUMBER(C61)),"Missing numeric rate",IF(D61="","Missing unit",IF(E61="","Missing currency",IF(F61="","Missing geography",IF(G61="","Missing base date",IF(H61="","Missing rate source",IF(AND(K61&lt;&gt;"Supported",K61&lt;&gt;"Scenario"),"Unpriced or invalid price basis","")))))))))</x:f>
      </x:c>
    </x:row>
    <x:row r="62" ht="26" customHeight="1">
      <x:c r="A62" s="16"/>
      <x:c r="B62" s="7"/>
      <x:c r="C62" s="8"/>
      <x:c r="D62" s="7"/>
      <x:c r="E62" s="7"/>
      <x:c r="F62" s="7"/>
      <x:c r="G62" s="9"/>
      <x:c r="H62" s="7"/>
      <x:c r="I62" s="7"/>
      <x:c r="J62" s="7"/>
      <x:c r="K62" s="7"/>
      <x:c r="L62" s="7"/>
      <x:c r="M62" s="14" t="str">
        <x:f>IF(A62="","",IF(COUNTIF($A$7:$A$106,A62)&lt;&gt;1,"Duplicate rate ID",IF(NOT(ISNUMBER(C62)),"Missing numeric rate",IF(D62="","Missing unit",IF(E62="","Missing currency",IF(F62="","Missing geography",IF(G62="","Missing base date",IF(H62="","Missing rate source",IF(AND(K62&lt;&gt;"Supported",K62&lt;&gt;"Scenario"),"Unpriced or invalid price basis","")))))))))</x:f>
      </x:c>
    </x:row>
    <x:row r="63" ht="26" customHeight="1">
      <x:c r="A63" s="16"/>
      <x:c r="B63" s="7"/>
      <x:c r="C63" s="8"/>
      <x:c r="D63" s="7"/>
      <x:c r="E63" s="7"/>
      <x:c r="F63" s="7"/>
      <x:c r="G63" s="9"/>
      <x:c r="H63" s="7"/>
      <x:c r="I63" s="7"/>
      <x:c r="J63" s="7"/>
      <x:c r="K63" s="7"/>
      <x:c r="L63" s="7"/>
      <x:c r="M63" s="14" t="str">
        <x:f>IF(A63="","",IF(COUNTIF($A$7:$A$106,A63)&lt;&gt;1,"Duplicate rate ID",IF(NOT(ISNUMBER(C63)),"Missing numeric rate",IF(D63="","Missing unit",IF(E63="","Missing currency",IF(F63="","Missing geography",IF(G63="","Missing base date",IF(H63="","Missing rate source",IF(AND(K63&lt;&gt;"Supported",K63&lt;&gt;"Scenario"),"Unpriced or invalid price basis","")))))))))</x:f>
      </x:c>
    </x:row>
    <x:row r="64" ht="26" customHeight="1">
      <x:c r="A64" s="16"/>
      <x:c r="B64" s="7"/>
      <x:c r="C64" s="8"/>
      <x:c r="D64" s="7"/>
      <x:c r="E64" s="7"/>
      <x:c r="F64" s="7"/>
      <x:c r="G64" s="9"/>
      <x:c r="H64" s="7"/>
      <x:c r="I64" s="7"/>
      <x:c r="J64" s="7"/>
      <x:c r="K64" s="7"/>
      <x:c r="L64" s="7"/>
      <x:c r="M64" s="14" t="str">
        <x:f>IF(A64="","",IF(COUNTIF($A$7:$A$106,A64)&lt;&gt;1,"Duplicate rate ID",IF(NOT(ISNUMBER(C64)),"Missing numeric rate",IF(D64="","Missing unit",IF(E64="","Missing currency",IF(F64="","Missing geography",IF(G64="","Missing base date",IF(H64="","Missing rate source",IF(AND(K64&lt;&gt;"Supported",K64&lt;&gt;"Scenario"),"Unpriced or invalid price basis","")))))))))</x:f>
      </x:c>
    </x:row>
    <x:row r="65" ht="26" customHeight="1">
      <x:c r="A65" s="16"/>
      <x:c r="B65" s="7"/>
      <x:c r="C65" s="8"/>
      <x:c r="D65" s="7"/>
      <x:c r="E65" s="7"/>
      <x:c r="F65" s="7"/>
      <x:c r="G65" s="9"/>
      <x:c r="H65" s="7"/>
      <x:c r="I65" s="7"/>
      <x:c r="J65" s="7"/>
      <x:c r="K65" s="7"/>
      <x:c r="L65" s="7"/>
      <x:c r="M65" s="14" t="str">
        <x:f>IF(A65="","",IF(COUNTIF($A$7:$A$106,A65)&lt;&gt;1,"Duplicate rate ID",IF(NOT(ISNUMBER(C65)),"Missing numeric rate",IF(D65="","Missing unit",IF(E65="","Missing currency",IF(F65="","Missing geography",IF(G65="","Missing base date",IF(H65="","Missing rate source",IF(AND(K65&lt;&gt;"Supported",K65&lt;&gt;"Scenario"),"Unpriced or invalid price basis","")))))))))</x:f>
      </x:c>
    </x:row>
    <x:row r="66" ht="26" customHeight="1">
      <x:c r="A66" s="16"/>
      <x:c r="B66" s="7"/>
      <x:c r="C66" s="8"/>
      <x:c r="D66" s="7"/>
      <x:c r="E66" s="7"/>
      <x:c r="F66" s="7"/>
      <x:c r="G66" s="9"/>
      <x:c r="H66" s="7"/>
      <x:c r="I66" s="7"/>
      <x:c r="J66" s="7"/>
      <x:c r="K66" s="7"/>
      <x:c r="L66" s="7"/>
      <x:c r="M66" s="14" t="str">
        <x:f>IF(A66="","",IF(COUNTIF($A$7:$A$106,A66)&lt;&gt;1,"Duplicate rate ID",IF(NOT(ISNUMBER(C66)),"Missing numeric rate",IF(D66="","Missing unit",IF(E66="","Missing currency",IF(F66="","Missing geography",IF(G66="","Missing base date",IF(H66="","Missing rate source",IF(AND(K66&lt;&gt;"Supported",K66&lt;&gt;"Scenario"),"Unpriced or invalid price basis","")))))))))</x:f>
      </x:c>
    </x:row>
    <x:row r="67" ht="26" customHeight="1">
      <x:c r="A67" s="16"/>
      <x:c r="B67" s="7"/>
      <x:c r="C67" s="8"/>
      <x:c r="D67" s="7"/>
      <x:c r="E67" s="7"/>
      <x:c r="F67" s="7"/>
      <x:c r="G67" s="9"/>
      <x:c r="H67" s="7"/>
      <x:c r="I67" s="7"/>
      <x:c r="J67" s="7"/>
      <x:c r="K67" s="7"/>
      <x:c r="L67" s="7"/>
      <x:c r="M67" s="14" t="str">
        <x:f>IF(A67="","",IF(COUNTIF($A$7:$A$106,A67)&lt;&gt;1,"Duplicate rate ID",IF(NOT(ISNUMBER(C67)),"Missing numeric rate",IF(D67="","Missing unit",IF(E67="","Missing currency",IF(F67="","Missing geography",IF(G67="","Missing base date",IF(H67="","Missing rate source",IF(AND(K67&lt;&gt;"Supported",K67&lt;&gt;"Scenario"),"Unpriced or invalid price basis","")))))))))</x:f>
      </x:c>
    </x:row>
    <x:row r="68" ht="26" customHeight="1">
      <x:c r="A68" s="16"/>
      <x:c r="B68" s="7"/>
      <x:c r="C68" s="8"/>
      <x:c r="D68" s="7"/>
      <x:c r="E68" s="7"/>
      <x:c r="F68" s="7"/>
      <x:c r="G68" s="9"/>
      <x:c r="H68" s="7"/>
      <x:c r="I68" s="7"/>
      <x:c r="J68" s="7"/>
      <x:c r="K68" s="7"/>
      <x:c r="L68" s="7"/>
      <x:c r="M68" s="14" t="str">
        <x:f>IF(A68="","",IF(COUNTIF($A$7:$A$106,A68)&lt;&gt;1,"Duplicate rate ID",IF(NOT(ISNUMBER(C68)),"Missing numeric rate",IF(D68="","Missing unit",IF(E68="","Missing currency",IF(F68="","Missing geography",IF(G68="","Missing base date",IF(H68="","Missing rate source",IF(AND(K68&lt;&gt;"Supported",K68&lt;&gt;"Scenario"),"Unpriced or invalid price basis","")))))))))</x:f>
      </x:c>
    </x:row>
    <x:row r="69" ht="26" customHeight="1">
      <x:c r="A69" s="16"/>
      <x:c r="B69" s="7"/>
      <x:c r="C69" s="8"/>
      <x:c r="D69" s="7"/>
      <x:c r="E69" s="7"/>
      <x:c r="F69" s="7"/>
      <x:c r="G69" s="9"/>
      <x:c r="H69" s="7"/>
      <x:c r="I69" s="7"/>
      <x:c r="J69" s="7"/>
      <x:c r="K69" s="7"/>
      <x:c r="L69" s="7"/>
      <x:c r="M69" s="14" t="str">
        <x:f>IF(A69="","",IF(COUNTIF($A$7:$A$106,A69)&lt;&gt;1,"Duplicate rate ID",IF(NOT(ISNUMBER(C69)),"Missing numeric rate",IF(D69="","Missing unit",IF(E69="","Missing currency",IF(F69="","Missing geography",IF(G69="","Missing base date",IF(H69="","Missing rate source",IF(AND(K69&lt;&gt;"Supported",K69&lt;&gt;"Scenario"),"Unpriced or invalid price basis","")))))))))</x:f>
      </x:c>
    </x:row>
    <x:row r="70" ht="26" customHeight="1">
      <x:c r="A70" s="16"/>
      <x:c r="B70" s="7"/>
      <x:c r="C70" s="8"/>
      <x:c r="D70" s="7"/>
      <x:c r="E70" s="7"/>
      <x:c r="F70" s="7"/>
      <x:c r="G70" s="9"/>
      <x:c r="H70" s="7"/>
      <x:c r="I70" s="7"/>
      <x:c r="J70" s="7"/>
      <x:c r="K70" s="7"/>
      <x:c r="L70" s="7"/>
      <x:c r="M70" s="14" t="str">
        <x:f>IF(A70="","",IF(COUNTIF($A$7:$A$106,A70)&lt;&gt;1,"Duplicate rate ID",IF(NOT(ISNUMBER(C70)),"Missing numeric rate",IF(D70="","Missing unit",IF(E70="","Missing currency",IF(F70="","Missing geography",IF(G70="","Missing base date",IF(H70="","Missing rate source",IF(AND(K70&lt;&gt;"Supported",K70&lt;&gt;"Scenario"),"Unpriced or invalid price basis","")))))))))</x:f>
      </x:c>
    </x:row>
    <x:row r="71" ht="26" customHeight="1">
      <x:c r="A71" s="16"/>
      <x:c r="B71" s="7"/>
      <x:c r="C71" s="8"/>
      <x:c r="D71" s="7"/>
      <x:c r="E71" s="7"/>
      <x:c r="F71" s="7"/>
      <x:c r="G71" s="9"/>
      <x:c r="H71" s="7"/>
      <x:c r="I71" s="7"/>
      <x:c r="J71" s="7"/>
      <x:c r="K71" s="7"/>
      <x:c r="L71" s="7"/>
      <x:c r="M71" s="14" t="str">
        <x:f>IF(A71="","",IF(COUNTIF($A$7:$A$106,A71)&lt;&gt;1,"Duplicate rate ID",IF(NOT(ISNUMBER(C71)),"Missing numeric rate",IF(D71="","Missing unit",IF(E71="","Missing currency",IF(F71="","Missing geography",IF(G71="","Missing base date",IF(H71="","Missing rate source",IF(AND(K71&lt;&gt;"Supported",K71&lt;&gt;"Scenario"),"Unpriced or invalid price basis","")))))))))</x:f>
      </x:c>
    </x:row>
    <x:row r="72" ht="26" customHeight="1">
      <x:c r="A72" s="16"/>
      <x:c r="B72" s="7"/>
      <x:c r="C72" s="8"/>
      <x:c r="D72" s="7"/>
      <x:c r="E72" s="7"/>
      <x:c r="F72" s="7"/>
      <x:c r="G72" s="9"/>
      <x:c r="H72" s="7"/>
      <x:c r="I72" s="7"/>
      <x:c r="J72" s="7"/>
      <x:c r="K72" s="7"/>
      <x:c r="L72" s="7"/>
      <x:c r="M72" s="14" t="str">
        <x:f>IF(A72="","",IF(COUNTIF($A$7:$A$106,A72)&lt;&gt;1,"Duplicate rate ID",IF(NOT(ISNUMBER(C72)),"Missing numeric rate",IF(D72="","Missing unit",IF(E72="","Missing currency",IF(F72="","Missing geography",IF(G72="","Missing base date",IF(H72="","Missing rate source",IF(AND(K72&lt;&gt;"Supported",K72&lt;&gt;"Scenario"),"Unpriced or invalid price basis","")))))))))</x:f>
      </x:c>
    </x:row>
    <x:row r="73" ht="26" customHeight="1">
      <x:c r="A73" s="16"/>
      <x:c r="B73" s="7"/>
      <x:c r="C73" s="8"/>
      <x:c r="D73" s="7"/>
      <x:c r="E73" s="7"/>
      <x:c r="F73" s="7"/>
      <x:c r="G73" s="9"/>
      <x:c r="H73" s="7"/>
      <x:c r="I73" s="7"/>
      <x:c r="J73" s="7"/>
      <x:c r="K73" s="7"/>
      <x:c r="L73" s="7"/>
      <x:c r="M73" s="14" t="str">
        <x:f>IF(A73="","",IF(COUNTIF($A$7:$A$106,A73)&lt;&gt;1,"Duplicate rate ID",IF(NOT(ISNUMBER(C73)),"Missing numeric rate",IF(D73="","Missing unit",IF(E73="","Missing currency",IF(F73="","Missing geography",IF(G73="","Missing base date",IF(H73="","Missing rate source",IF(AND(K73&lt;&gt;"Supported",K73&lt;&gt;"Scenario"),"Unpriced or invalid price basis","")))))))))</x:f>
      </x:c>
    </x:row>
    <x:row r="74" ht="26" customHeight="1">
      <x:c r="A74" s="16"/>
      <x:c r="B74" s="7"/>
      <x:c r="C74" s="8"/>
      <x:c r="D74" s="7"/>
      <x:c r="E74" s="7"/>
      <x:c r="F74" s="7"/>
      <x:c r="G74" s="9"/>
      <x:c r="H74" s="7"/>
      <x:c r="I74" s="7"/>
      <x:c r="J74" s="7"/>
      <x:c r="K74" s="7"/>
      <x:c r="L74" s="7"/>
      <x:c r="M74" s="14" t="str">
        <x:f>IF(A74="","",IF(COUNTIF($A$7:$A$106,A74)&lt;&gt;1,"Duplicate rate ID",IF(NOT(ISNUMBER(C74)),"Missing numeric rate",IF(D74="","Missing unit",IF(E74="","Missing currency",IF(F74="","Missing geography",IF(G74="","Missing base date",IF(H74="","Missing rate source",IF(AND(K74&lt;&gt;"Supported",K74&lt;&gt;"Scenario"),"Unpriced or invalid price basis","")))))))))</x:f>
      </x:c>
    </x:row>
    <x:row r="75" ht="26" customHeight="1">
      <x:c r="A75" s="16"/>
      <x:c r="B75" s="7"/>
      <x:c r="C75" s="8"/>
      <x:c r="D75" s="7"/>
      <x:c r="E75" s="7"/>
      <x:c r="F75" s="7"/>
      <x:c r="G75" s="9"/>
      <x:c r="H75" s="7"/>
      <x:c r="I75" s="7"/>
      <x:c r="J75" s="7"/>
      <x:c r="K75" s="7"/>
      <x:c r="L75" s="7"/>
      <x:c r="M75" s="14" t="str">
        <x:f>IF(A75="","",IF(COUNTIF($A$7:$A$106,A75)&lt;&gt;1,"Duplicate rate ID",IF(NOT(ISNUMBER(C75)),"Missing numeric rate",IF(D75="","Missing unit",IF(E75="","Missing currency",IF(F75="","Missing geography",IF(G75="","Missing base date",IF(H75="","Missing rate source",IF(AND(K75&lt;&gt;"Supported",K75&lt;&gt;"Scenario"),"Unpriced or invalid price basis","")))))))))</x:f>
      </x:c>
    </x:row>
    <x:row r="76" ht="26" customHeight="1">
      <x:c r="A76" s="16"/>
      <x:c r="B76" s="7"/>
      <x:c r="C76" s="8"/>
      <x:c r="D76" s="7"/>
      <x:c r="E76" s="7"/>
      <x:c r="F76" s="7"/>
      <x:c r="G76" s="9"/>
      <x:c r="H76" s="7"/>
      <x:c r="I76" s="7"/>
      <x:c r="J76" s="7"/>
      <x:c r="K76" s="7"/>
      <x:c r="L76" s="7"/>
      <x:c r="M76" s="14" t="str">
        <x:f>IF(A76="","",IF(COUNTIF($A$7:$A$106,A76)&lt;&gt;1,"Duplicate rate ID",IF(NOT(ISNUMBER(C76)),"Missing numeric rate",IF(D76="","Missing unit",IF(E76="","Missing currency",IF(F76="","Missing geography",IF(G76="","Missing base date",IF(H76="","Missing rate source",IF(AND(K76&lt;&gt;"Supported",K76&lt;&gt;"Scenario"),"Unpriced or invalid price basis","")))))))))</x:f>
      </x:c>
    </x:row>
    <x:row r="77" ht="26" customHeight="1">
      <x:c r="A77" s="16"/>
      <x:c r="B77" s="7"/>
      <x:c r="C77" s="8"/>
      <x:c r="D77" s="7"/>
      <x:c r="E77" s="7"/>
      <x:c r="F77" s="7"/>
      <x:c r="G77" s="9"/>
      <x:c r="H77" s="7"/>
      <x:c r="I77" s="7"/>
      <x:c r="J77" s="7"/>
      <x:c r="K77" s="7"/>
      <x:c r="L77" s="7"/>
      <x:c r="M77" s="14" t="str">
        <x:f>IF(A77="","",IF(COUNTIF($A$7:$A$106,A77)&lt;&gt;1,"Duplicate rate ID",IF(NOT(ISNUMBER(C77)),"Missing numeric rate",IF(D77="","Missing unit",IF(E77="","Missing currency",IF(F77="","Missing geography",IF(G77="","Missing base date",IF(H77="","Missing rate source",IF(AND(K77&lt;&gt;"Supported",K77&lt;&gt;"Scenario"),"Unpriced or invalid price basis","")))))))))</x:f>
      </x:c>
    </x:row>
    <x:row r="78" ht="26" customHeight="1">
      <x:c r="A78" s="16"/>
      <x:c r="B78" s="7"/>
      <x:c r="C78" s="8"/>
      <x:c r="D78" s="7"/>
      <x:c r="E78" s="7"/>
      <x:c r="F78" s="7"/>
      <x:c r="G78" s="9"/>
      <x:c r="H78" s="7"/>
      <x:c r="I78" s="7"/>
      <x:c r="J78" s="7"/>
      <x:c r="K78" s="7"/>
      <x:c r="L78" s="7"/>
      <x:c r="M78" s="14" t="str">
        <x:f>IF(A78="","",IF(COUNTIF($A$7:$A$106,A78)&lt;&gt;1,"Duplicate rate ID",IF(NOT(ISNUMBER(C78)),"Missing numeric rate",IF(D78="","Missing unit",IF(E78="","Missing currency",IF(F78="","Missing geography",IF(G78="","Missing base date",IF(H78="","Missing rate source",IF(AND(K78&lt;&gt;"Supported",K78&lt;&gt;"Scenario"),"Unpriced or invalid price basis","")))))))))</x:f>
      </x:c>
    </x:row>
    <x:row r="79" ht="26" customHeight="1">
      <x:c r="A79" s="16"/>
      <x:c r="B79" s="7"/>
      <x:c r="C79" s="8"/>
      <x:c r="D79" s="7"/>
      <x:c r="E79" s="7"/>
      <x:c r="F79" s="7"/>
      <x:c r="G79" s="9"/>
      <x:c r="H79" s="7"/>
      <x:c r="I79" s="7"/>
      <x:c r="J79" s="7"/>
      <x:c r="K79" s="7"/>
      <x:c r="L79" s="7"/>
      <x:c r="M79" s="14" t="str">
        <x:f>IF(A79="","",IF(COUNTIF($A$7:$A$106,A79)&lt;&gt;1,"Duplicate rate ID",IF(NOT(ISNUMBER(C79)),"Missing numeric rate",IF(D79="","Missing unit",IF(E79="","Missing currency",IF(F79="","Missing geography",IF(G79="","Missing base date",IF(H79="","Missing rate source",IF(AND(K79&lt;&gt;"Supported",K79&lt;&gt;"Scenario"),"Unpriced or invalid price basis","")))))))))</x:f>
      </x:c>
    </x:row>
    <x:row r="80" ht="26" customHeight="1">
      <x:c r="A80" s="16"/>
      <x:c r="B80" s="7"/>
      <x:c r="C80" s="8"/>
      <x:c r="D80" s="7"/>
      <x:c r="E80" s="7"/>
      <x:c r="F80" s="7"/>
      <x:c r="G80" s="9"/>
      <x:c r="H80" s="7"/>
      <x:c r="I80" s="7"/>
      <x:c r="J80" s="7"/>
      <x:c r="K80" s="7"/>
      <x:c r="L80" s="7"/>
      <x:c r="M80" s="14" t="str">
        <x:f>IF(A80="","",IF(COUNTIF($A$7:$A$106,A80)&lt;&gt;1,"Duplicate rate ID",IF(NOT(ISNUMBER(C80)),"Missing numeric rate",IF(D80="","Missing unit",IF(E80="","Missing currency",IF(F80="","Missing geography",IF(G80="","Missing base date",IF(H80="","Missing rate source",IF(AND(K80&lt;&gt;"Supported",K80&lt;&gt;"Scenario"),"Unpriced or invalid price basis","")))))))))</x:f>
      </x:c>
    </x:row>
    <x:row r="81" ht="26" customHeight="1">
      <x:c r="A81" s="16"/>
      <x:c r="B81" s="7"/>
      <x:c r="C81" s="8"/>
      <x:c r="D81" s="7"/>
      <x:c r="E81" s="7"/>
      <x:c r="F81" s="7"/>
      <x:c r="G81" s="9"/>
      <x:c r="H81" s="7"/>
      <x:c r="I81" s="7"/>
      <x:c r="J81" s="7"/>
      <x:c r="K81" s="7"/>
      <x:c r="L81" s="7"/>
      <x:c r="M81" s="14" t="str">
        <x:f>IF(A81="","",IF(COUNTIF($A$7:$A$106,A81)&lt;&gt;1,"Duplicate rate ID",IF(NOT(ISNUMBER(C81)),"Missing numeric rate",IF(D81="","Missing unit",IF(E81="","Missing currency",IF(F81="","Missing geography",IF(G81="","Missing base date",IF(H81="","Missing rate source",IF(AND(K81&lt;&gt;"Supported",K81&lt;&gt;"Scenario"),"Unpriced or invalid price basis","")))))))))</x:f>
      </x:c>
    </x:row>
    <x:row r="82" ht="26" customHeight="1">
      <x:c r="A82" s="16"/>
      <x:c r="B82" s="7"/>
      <x:c r="C82" s="8"/>
      <x:c r="D82" s="7"/>
      <x:c r="E82" s="7"/>
      <x:c r="F82" s="7"/>
      <x:c r="G82" s="9"/>
      <x:c r="H82" s="7"/>
      <x:c r="I82" s="7"/>
      <x:c r="J82" s="7"/>
      <x:c r="K82" s="7"/>
      <x:c r="L82" s="7"/>
      <x:c r="M82" s="14" t="str">
        <x:f>IF(A82="","",IF(COUNTIF($A$7:$A$106,A82)&lt;&gt;1,"Duplicate rate ID",IF(NOT(ISNUMBER(C82)),"Missing numeric rate",IF(D82="","Missing unit",IF(E82="","Missing currency",IF(F82="","Missing geography",IF(G82="","Missing base date",IF(H82="","Missing rate source",IF(AND(K82&lt;&gt;"Supported",K82&lt;&gt;"Scenario"),"Unpriced or invalid price basis","")))))))))</x:f>
      </x:c>
    </x:row>
    <x:row r="83" ht="26" customHeight="1">
      <x:c r="A83" s="16"/>
      <x:c r="B83" s="7"/>
      <x:c r="C83" s="8"/>
      <x:c r="D83" s="7"/>
      <x:c r="E83" s="7"/>
      <x:c r="F83" s="7"/>
      <x:c r="G83" s="9"/>
      <x:c r="H83" s="7"/>
      <x:c r="I83" s="7"/>
      <x:c r="J83" s="7"/>
      <x:c r="K83" s="7"/>
      <x:c r="L83" s="7"/>
      <x:c r="M83" s="14" t="str">
        <x:f>IF(A83="","",IF(COUNTIF($A$7:$A$106,A83)&lt;&gt;1,"Duplicate rate ID",IF(NOT(ISNUMBER(C83)),"Missing numeric rate",IF(D83="","Missing unit",IF(E83="","Missing currency",IF(F83="","Missing geography",IF(G83="","Missing base date",IF(H83="","Missing rate source",IF(AND(K83&lt;&gt;"Supported",K83&lt;&gt;"Scenario"),"Unpriced or invalid price basis","")))))))))</x:f>
      </x:c>
    </x:row>
    <x:row r="84" ht="26" customHeight="1">
      <x:c r="A84" s="16"/>
      <x:c r="B84" s="7"/>
      <x:c r="C84" s="8"/>
      <x:c r="D84" s="7"/>
      <x:c r="E84" s="7"/>
      <x:c r="F84" s="7"/>
      <x:c r="G84" s="9"/>
      <x:c r="H84" s="7"/>
      <x:c r="I84" s="7"/>
      <x:c r="J84" s="7"/>
      <x:c r="K84" s="7"/>
      <x:c r="L84" s="7"/>
      <x:c r="M84" s="14" t="str">
        <x:f>IF(A84="","",IF(COUNTIF($A$7:$A$106,A84)&lt;&gt;1,"Duplicate rate ID",IF(NOT(ISNUMBER(C84)),"Missing numeric rate",IF(D84="","Missing unit",IF(E84="","Missing currency",IF(F84="","Missing geography",IF(G84="","Missing base date",IF(H84="","Missing rate source",IF(AND(K84&lt;&gt;"Supported",K84&lt;&gt;"Scenario"),"Unpriced or invalid price basis","")))))))))</x:f>
      </x:c>
    </x:row>
    <x:row r="85" ht="26" customHeight="1">
      <x:c r="A85" s="16"/>
      <x:c r="B85" s="7"/>
      <x:c r="C85" s="8"/>
      <x:c r="D85" s="7"/>
      <x:c r="E85" s="7"/>
      <x:c r="F85" s="7"/>
      <x:c r="G85" s="9"/>
      <x:c r="H85" s="7"/>
      <x:c r="I85" s="7"/>
      <x:c r="J85" s="7"/>
      <x:c r="K85" s="7"/>
      <x:c r="L85" s="7"/>
      <x:c r="M85" s="14" t="str">
        <x:f>IF(A85="","",IF(COUNTIF($A$7:$A$106,A85)&lt;&gt;1,"Duplicate rate ID",IF(NOT(ISNUMBER(C85)),"Missing numeric rate",IF(D85="","Missing unit",IF(E85="","Missing currency",IF(F85="","Missing geography",IF(G85="","Missing base date",IF(H85="","Missing rate source",IF(AND(K85&lt;&gt;"Supported",K85&lt;&gt;"Scenario"),"Unpriced or invalid price basis","")))))))))</x:f>
      </x:c>
    </x:row>
    <x:row r="86" ht="26" customHeight="1">
      <x:c r="A86" s="16"/>
      <x:c r="B86" s="7"/>
      <x:c r="C86" s="8"/>
      <x:c r="D86" s="7"/>
      <x:c r="E86" s="7"/>
      <x:c r="F86" s="7"/>
      <x:c r="G86" s="9"/>
      <x:c r="H86" s="7"/>
      <x:c r="I86" s="7"/>
      <x:c r="J86" s="7"/>
      <x:c r="K86" s="7"/>
      <x:c r="L86" s="7"/>
      <x:c r="M86" s="14" t="str">
        <x:f>IF(A86="","",IF(COUNTIF($A$7:$A$106,A86)&lt;&gt;1,"Duplicate rate ID",IF(NOT(ISNUMBER(C86)),"Missing numeric rate",IF(D86="","Missing unit",IF(E86="","Missing currency",IF(F86="","Missing geography",IF(G86="","Missing base date",IF(H86="","Missing rate source",IF(AND(K86&lt;&gt;"Supported",K86&lt;&gt;"Scenario"),"Unpriced or invalid price basis","")))))))))</x:f>
      </x:c>
    </x:row>
    <x:row r="87" ht="26" customHeight="1">
      <x:c r="A87" s="16"/>
      <x:c r="B87" s="7"/>
      <x:c r="C87" s="8"/>
      <x:c r="D87" s="7"/>
      <x:c r="E87" s="7"/>
      <x:c r="F87" s="7"/>
      <x:c r="G87" s="9"/>
      <x:c r="H87" s="7"/>
      <x:c r="I87" s="7"/>
      <x:c r="J87" s="7"/>
      <x:c r="K87" s="7"/>
      <x:c r="L87" s="7"/>
      <x:c r="M87" s="14" t="str">
        <x:f>IF(A87="","",IF(COUNTIF($A$7:$A$106,A87)&lt;&gt;1,"Duplicate rate ID",IF(NOT(ISNUMBER(C87)),"Missing numeric rate",IF(D87="","Missing unit",IF(E87="","Missing currency",IF(F87="","Missing geography",IF(G87="","Missing base date",IF(H87="","Missing rate source",IF(AND(K87&lt;&gt;"Supported",K87&lt;&gt;"Scenario"),"Unpriced or invalid price basis","")))))))))</x:f>
      </x:c>
    </x:row>
    <x:row r="88" ht="26" customHeight="1">
      <x:c r="A88" s="16"/>
      <x:c r="B88" s="7"/>
      <x:c r="C88" s="8"/>
      <x:c r="D88" s="7"/>
      <x:c r="E88" s="7"/>
      <x:c r="F88" s="7"/>
      <x:c r="G88" s="9"/>
      <x:c r="H88" s="7"/>
      <x:c r="I88" s="7"/>
      <x:c r="J88" s="7"/>
      <x:c r="K88" s="7"/>
      <x:c r="L88" s="7"/>
      <x:c r="M88" s="14" t="str">
        <x:f>IF(A88="","",IF(COUNTIF($A$7:$A$106,A88)&lt;&gt;1,"Duplicate rate ID",IF(NOT(ISNUMBER(C88)),"Missing numeric rate",IF(D88="","Missing unit",IF(E88="","Missing currency",IF(F88="","Missing geography",IF(G88="","Missing base date",IF(H88="","Missing rate source",IF(AND(K88&lt;&gt;"Supported",K88&lt;&gt;"Scenario"),"Unpriced or invalid price basis","")))))))))</x:f>
      </x:c>
    </x:row>
    <x:row r="89" ht="26" customHeight="1">
      <x:c r="A89" s="16"/>
      <x:c r="B89" s="7"/>
      <x:c r="C89" s="8"/>
      <x:c r="D89" s="7"/>
      <x:c r="E89" s="7"/>
      <x:c r="F89" s="7"/>
      <x:c r="G89" s="9"/>
      <x:c r="H89" s="7"/>
      <x:c r="I89" s="7"/>
      <x:c r="J89" s="7"/>
      <x:c r="K89" s="7"/>
      <x:c r="L89" s="7"/>
      <x:c r="M89" s="14" t="str">
        <x:f>IF(A89="","",IF(COUNTIF($A$7:$A$106,A89)&lt;&gt;1,"Duplicate rate ID",IF(NOT(ISNUMBER(C89)),"Missing numeric rate",IF(D89="","Missing unit",IF(E89="","Missing currency",IF(F89="","Missing geography",IF(G89="","Missing base date",IF(H89="","Missing rate source",IF(AND(K89&lt;&gt;"Supported",K89&lt;&gt;"Scenario"),"Unpriced or invalid price basis","")))))))))</x:f>
      </x:c>
    </x:row>
    <x:row r="90" ht="26" customHeight="1">
      <x:c r="A90" s="16"/>
      <x:c r="B90" s="7"/>
      <x:c r="C90" s="8"/>
      <x:c r="D90" s="7"/>
      <x:c r="E90" s="7"/>
      <x:c r="F90" s="7"/>
      <x:c r="G90" s="9"/>
      <x:c r="H90" s="7"/>
      <x:c r="I90" s="7"/>
      <x:c r="J90" s="7"/>
      <x:c r="K90" s="7"/>
      <x:c r="L90" s="7"/>
      <x:c r="M90" s="14" t="str">
        <x:f>IF(A90="","",IF(COUNTIF($A$7:$A$106,A90)&lt;&gt;1,"Duplicate rate ID",IF(NOT(ISNUMBER(C90)),"Missing numeric rate",IF(D90="","Missing unit",IF(E90="","Missing currency",IF(F90="","Missing geography",IF(G90="","Missing base date",IF(H90="","Missing rate source",IF(AND(K90&lt;&gt;"Supported",K90&lt;&gt;"Scenario"),"Unpriced or invalid price basis","")))))))))</x:f>
      </x:c>
    </x:row>
    <x:row r="91" ht="26" customHeight="1">
      <x:c r="A91" s="16"/>
      <x:c r="B91" s="7"/>
      <x:c r="C91" s="8"/>
      <x:c r="D91" s="7"/>
      <x:c r="E91" s="7"/>
      <x:c r="F91" s="7"/>
      <x:c r="G91" s="9"/>
      <x:c r="H91" s="7"/>
      <x:c r="I91" s="7"/>
      <x:c r="J91" s="7"/>
      <x:c r="K91" s="7"/>
      <x:c r="L91" s="7"/>
      <x:c r="M91" s="14" t="str">
        <x:f>IF(A91="","",IF(COUNTIF($A$7:$A$106,A91)&lt;&gt;1,"Duplicate rate ID",IF(NOT(ISNUMBER(C91)),"Missing numeric rate",IF(D91="","Missing unit",IF(E91="","Missing currency",IF(F91="","Missing geography",IF(G91="","Missing base date",IF(H91="","Missing rate source",IF(AND(K91&lt;&gt;"Supported",K91&lt;&gt;"Scenario"),"Unpriced or invalid price basis","")))))))))</x:f>
      </x:c>
    </x:row>
    <x:row r="92" ht="26" customHeight="1">
      <x:c r="A92" s="16"/>
      <x:c r="B92" s="7"/>
      <x:c r="C92" s="8"/>
      <x:c r="D92" s="7"/>
      <x:c r="E92" s="7"/>
      <x:c r="F92" s="7"/>
      <x:c r="G92" s="9"/>
      <x:c r="H92" s="7"/>
      <x:c r="I92" s="7"/>
      <x:c r="J92" s="7"/>
      <x:c r="K92" s="7"/>
      <x:c r="L92" s="7"/>
      <x:c r="M92" s="14" t="str">
        <x:f>IF(A92="","",IF(COUNTIF($A$7:$A$106,A92)&lt;&gt;1,"Duplicate rate ID",IF(NOT(ISNUMBER(C92)),"Missing numeric rate",IF(D92="","Missing unit",IF(E92="","Missing currency",IF(F92="","Missing geography",IF(G92="","Missing base date",IF(H92="","Missing rate source",IF(AND(K92&lt;&gt;"Supported",K92&lt;&gt;"Scenario"),"Unpriced or invalid price basis","")))))))))</x:f>
      </x:c>
    </x:row>
    <x:row r="93" ht="26" customHeight="1">
      <x:c r="A93" s="16"/>
      <x:c r="B93" s="7"/>
      <x:c r="C93" s="8"/>
      <x:c r="D93" s="7"/>
      <x:c r="E93" s="7"/>
      <x:c r="F93" s="7"/>
      <x:c r="G93" s="9"/>
      <x:c r="H93" s="7"/>
      <x:c r="I93" s="7"/>
      <x:c r="J93" s="7"/>
      <x:c r="K93" s="7"/>
      <x:c r="L93" s="7"/>
      <x:c r="M93" s="14" t="str">
        <x:f>IF(A93="","",IF(COUNTIF($A$7:$A$106,A93)&lt;&gt;1,"Duplicate rate ID",IF(NOT(ISNUMBER(C93)),"Missing numeric rate",IF(D93="","Missing unit",IF(E93="","Missing currency",IF(F93="","Missing geography",IF(G93="","Missing base date",IF(H93="","Missing rate source",IF(AND(K93&lt;&gt;"Supported",K93&lt;&gt;"Scenario"),"Unpriced or invalid price basis","")))))))))</x:f>
      </x:c>
    </x:row>
    <x:row r="94" ht="26" customHeight="1">
      <x:c r="A94" s="16"/>
      <x:c r="B94" s="7"/>
      <x:c r="C94" s="8"/>
      <x:c r="D94" s="7"/>
      <x:c r="E94" s="7"/>
      <x:c r="F94" s="7"/>
      <x:c r="G94" s="9"/>
      <x:c r="H94" s="7"/>
      <x:c r="I94" s="7"/>
      <x:c r="J94" s="7"/>
      <x:c r="K94" s="7"/>
      <x:c r="L94" s="7"/>
      <x:c r="M94" s="14" t="str">
        <x:f>IF(A94="","",IF(COUNTIF($A$7:$A$106,A94)&lt;&gt;1,"Duplicate rate ID",IF(NOT(ISNUMBER(C94)),"Missing numeric rate",IF(D94="","Missing unit",IF(E94="","Missing currency",IF(F94="","Missing geography",IF(G94="","Missing base date",IF(H94="","Missing rate source",IF(AND(K94&lt;&gt;"Supported",K94&lt;&gt;"Scenario"),"Unpriced or invalid price basis","")))))))))</x:f>
      </x:c>
    </x:row>
    <x:row r="95" ht="26" customHeight="1">
      <x:c r="A95" s="16"/>
      <x:c r="B95" s="7"/>
      <x:c r="C95" s="8"/>
      <x:c r="D95" s="7"/>
      <x:c r="E95" s="7"/>
      <x:c r="F95" s="7"/>
      <x:c r="G95" s="9"/>
      <x:c r="H95" s="7"/>
      <x:c r="I95" s="7"/>
      <x:c r="J95" s="7"/>
      <x:c r="K95" s="7"/>
      <x:c r="L95" s="7"/>
      <x:c r="M95" s="14" t="str">
        <x:f>IF(A95="","",IF(COUNTIF($A$7:$A$106,A95)&lt;&gt;1,"Duplicate rate ID",IF(NOT(ISNUMBER(C95)),"Missing numeric rate",IF(D95="","Missing unit",IF(E95="","Missing currency",IF(F95="","Missing geography",IF(G95="","Missing base date",IF(H95="","Missing rate source",IF(AND(K95&lt;&gt;"Supported",K95&lt;&gt;"Scenario"),"Unpriced or invalid price basis","")))))))))</x:f>
      </x:c>
    </x:row>
    <x:row r="96" ht="26" customHeight="1">
      <x:c r="A96" s="16"/>
      <x:c r="B96" s="7"/>
      <x:c r="C96" s="8"/>
      <x:c r="D96" s="7"/>
      <x:c r="E96" s="7"/>
      <x:c r="F96" s="7"/>
      <x:c r="G96" s="9"/>
      <x:c r="H96" s="7"/>
      <x:c r="I96" s="7"/>
      <x:c r="J96" s="7"/>
      <x:c r="K96" s="7"/>
      <x:c r="L96" s="7"/>
      <x:c r="M96" s="14" t="str">
        <x:f>IF(A96="","",IF(COUNTIF($A$7:$A$106,A96)&lt;&gt;1,"Duplicate rate ID",IF(NOT(ISNUMBER(C96)),"Missing numeric rate",IF(D96="","Missing unit",IF(E96="","Missing currency",IF(F96="","Missing geography",IF(G96="","Missing base date",IF(H96="","Missing rate source",IF(AND(K96&lt;&gt;"Supported",K96&lt;&gt;"Scenario"),"Unpriced or invalid price basis","")))))))))</x:f>
      </x:c>
    </x:row>
    <x:row r="97" ht="26" customHeight="1">
      <x:c r="A97" s="16"/>
      <x:c r="B97" s="7"/>
      <x:c r="C97" s="8"/>
      <x:c r="D97" s="7"/>
      <x:c r="E97" s="7"/>
      <x:c r="F97" s="7"/>
      <x:c r="G97" s="9"/>
      <x:c r="H97" s="7"/>
      <x:c r="I97" s="7"/>
      <x:c r="J97" s="7"/>
      <x:c r="K97" s="7"/>
      <x:c r="L97" s="7"/>
      <x:c r="M97" s="14" t="str">
        <x:f>IF(A97="","",IF(COUNTIF($A$7:$A$106,A97)&lt;&gt;1,"Duplicate rate ID",IF(NOT(ISNUMBER(C97)),"Missing numeric rate",IF(D97="","Missing unit",IF(E97="","Missing currency",IF(F97="","Missing geography",IF(G97="","Missing base date",IF(H97="","Missing rate source",IF(AND(K97&lt;&gt;"Supported",K97&lt;&gt;"Scenario"),"Unpriced or invalid price basis","")))))))))</x:f>
      </x:c>
    </x:row>
    <x:row r="98" ht="26" customHeight="1">
      <x:c r="A98" s="16"/>
      <x:c r="B98" s="7"/>
      <x:c r="C98" s="8"/>
      <x:c r="D98" s="7"/>
      <x:c r="E98" s="7"/>
      <x:c r="F98" s="7"/>
      <x:c r="G98" s="9"/>
      <x:c r="H98" s="7"/>
      <x:c r="I98" s="7"/>
      <x:c r="J98" s="7"/>
      <x:c r="K98" s="7"/>
      <x:c r="L98" s="7"/>
      <x:c r="M98" s="14" t="str">
        <x:f>IF(A98="","",IF(COUNTIF($A$7:$A$106,A98)&lt;&gt;1,"Duplicate rate ID",IF(NOT(ISNUMBER(C98)),"Missing numeric rate",IF(D98="","Missing unit",IF(E98="","Missing currency",IF(F98="","Missing geography",IF(G98="","Missing base date",IF(H98="","Missing rate source",IF(AND(K98&lt;&gt;"Supported",K98&lt;&gt;"Scenario"),"Unpriced or invalid price basis","")))))))))</x:f>
      </x:c>
    </x:row>
    <x:row r="99" ht="26" customHeight="1">
      <x:c r="A99" s="16"/>
      <x:c r="B99" s="7"/>
      <x:c r="C99" s="8"/>
      <x:c r="D99" s="7"/>
      <x:c r="E99" s="7"/>
      <x:c r="F99" s="7"/>
      <x:c r="G99" s="9"/>
      <x:c r="H99" s="7"/>
      <x:c r="I99" s="7"/>
      <x:c r="J99" s="7"/>
      <x:c r="K99" s="7"/>
      <x:c r="L99" s="7"/>
      <x:c r="M99" s="14" t="str">
        <x:f>IF(A99="","",IF(COUNTIF($A$7:$A$106,A99)&lt;&gt;1,"Duplicate rate ID",IF(NOT(ISNUMBER(C99)),"Missing numeric rate",IF(D99="","Missing unit",IF(E99="","Missing currency",IF(F99="","Missing geography",IF(G99="","Missing base date",IF(H99="","Missing rate source",IF(AND(K99&lt;&gt;"Supported",K99&lt;&gt;"Scenario"),"Unpriced or invalid price basis","")))))))))</x:f>
      </x:c>
    </x:row>
    <x:row r="100" ht="26" customHeight="1">
      <x:c r="A100" s="16"/>
      <x:c r="B100" s="7"/>
      <x:c r="C100" s="8"/>
      <x:c r="D100" s="7"/>
      <x:c r="E100" s="7"/>
      <x:c r="F100" s="7"/>
      <x:c r="G100" s="9"/>
      <x:c r="H100" s="7"/>
      <x:c r="I100" s="7"/>
      <x:c r="J100" s="7"/>
      <x:c r="K100" s="7"/>
      <x:c r="L100" s="7"/>
      <x:c r="M100" s="14" t="str">
        <x:f>IF(A100="","",IF(COUNTIF($A$7:$A$106,A100)&lt;&gt;1,"Duplicate rate ID",IF(NOT(ISNUMBER(C100)),"Missing numeric rate",IF(D100="","Missing unit",IF(E100="","Missing currency",IF(F100="","Missing geography",IF(G100="","Missing base date",IF(H100="","Missing rate source",IF(AND(K100&lt;&gt;"Supported",K100&lt;&gt;"Scenario"),"Unpriced or invalid price basis","")))))))))</x:f>
      </x:c>
    </x:row>
    <x:row r="101" ht="26" customHeight="1">
      <x:c r="A101" s="16"/>
      <x:c r="B101" s="7"/>
      <x:c r="C101" s="8"/>
      <x:c r="D101" s="7"/>
      <x:c r="E101" s="7"/>
      <x:c r="F101" s="7"/>
      <x:c r="G101" s="9"/>
      <x:c r="H101" s="7"/>
      <x:c r="I101" s="7"/>
      <x:c r="J101" s="7"/>
      <x:c r="K101" s="7"/>
      <x:c r="L101" s="7"/>
      <x:c r="M101" s="14" t="str">
        <x:f>IF(A101="","",IF(COUNTIF($A$7:$A$106,A101)&lt;&gt;1,"Duplicate rate ID",IF(NOT(ISNUMBER(C101)),"Missing numeric rate",IF(D101="","Missing unit",IF(E101="","Missing currency",IF(F101="","Missing geography",IF(G101="","Missing base date",IF(H101="","Missing rate source",IF(AND(K101&lt;&gt;"Supported",K101&lt;&gt;"Scenario"),"Unpriced or invalid price basis","")))))))))</x:f>
      </x:c>
    </x:row>
    <x:row r="102" ht="26" customHeight="1">
      <x:c r="A102" s="16"/>
      <x:c r="B102" s="7"/>
      <x:c r="C102" s="8"/>
      <x:c r="D102" s="7"/>
      <x:c r="E102" s="7"/>
      <x:c r="F102" s="7"/>
      <x:c r="G102" s="9"/>
      <x:c r="H102" s="7"/>
      <x:c r="I102" s="7"/>
      <x:c r="J102" s="7"/>
      <x:c r="K102" s="7"/>
      <x:c r="L102" s="7"/>
      <x:c r="M102" s="14" t="str">
        <x:f>IF(A102="","",IF(COUNTIF($A$7:$A$106,A102)&lt;&gt;1,"Duplicate rate ID",IF(NOT(ISNUMBER(C102)),"Missing numeric rate",IF(D102="","Missing unit",IF(E102="","Missing currency",IF(F102="","Missing geography",IF(G102="","Missing base date",IF(H102="","Missing rate source",IF(AND(K102&lt;&gt;"Supported",K102&lt;&gt;"Scenario"),"Unpriced or invalid price basis","")))))))))</x:f>
      </x:c>
    </x:row>
    <x:row r="103" ht="26" customHeight="1">
      <x:c r="A103" s="16"/>
      <x:c r="B103" s="7"/>
      <x:c r="C103" s="8"/>
      <x:c r="D103" s="7"/>
      <x:c r="E103" s="7"/>
      <x:c r="F103" s="7"/>
      <x:c r="G103" s="9"/>
      <x:c r="H103" s="7"/>
      <x:c r="I103" s="7"/>
      <x:c r="J103" s="7"/>
      <x:c r="K103" s="7"/>
      <x:c r="L103" s="7"/>
      <x:c r="M103" s="14" t="str">
        <x:f>IF(A103="","",IF(COUNTIF($A$7:$A$106,A103)&lt;&gt;1,"Duplicate rate ID",IF(NOT(ISNUMBER(C103)),"Missing numeric rate",IF(D103="","Missing unit",IF(E103="","Missing currency",IF(F103="","Missing geography",IF(G103="","Missing base date",IF(H103="","Missing rate source",IF(AND(K103&lt;&gt;"Supported",K103&lt;&gt;"Scenario"),"Unpriced or invalid price basis","")))))))))</x:f>
      </x:c>
    </x:row>
    <x:row r="104" ht="26" customHeight="1">
      <x:c r="A104" s="16"/>
      <x:c r="B104" s="7"/>
      <x:c r="C104" s="8"/>
      <x:c r="D104" s="7"/>
      <x:c r="E104" s="7"/>
      <x:c r="F104" s="7"/>
      <x:c r="G104" s="9"/>
      <x:c r="H104" s="7"/>
      <x:c r="I104" s="7"/>
      <x:c r="J104" s="7"/>
      <x:c r="K104" s="7"/>
      <x:c r="L104" s="7"/>
      <x:c r="M104" s="14" t="str">
        <x:f>IF(A104="","",IF(COUNTIF($A$7:$A$106,A104)&lt;&gt;1,"Duplicate rate ID",IF(NOT(ISNUMBER(C104)),"Missing numeric rate",IF(D104="","Missing unit",IF(E104="","Missing currency",IF(F104="","Missing geography",IF(G104="","Missing base date",IF(H104="","Missing rate source",IF(AND(K104&lt;&gt;"Supported",K104&lt;&gt;"Scenario"),"Unpriced or invalid price basis","")))))))))</x:f>
      </x:c>
    </x:row>
    <x:row r="105" ht="26" customHeight="1">
      <x:c r="A105" s="16"/>
      <x:c r="B105" s="7"/>
      <x:c r="C105" s="8"/>
      <x:c r="D105" s="7"/>
      <x:c r="E105" s="7"/>
      <x:c r="F105" s="7"/>
      <x:c r="G105" s="9"/>
      <x:c r="H105" s="7"/>
      <x:c r="I105" s="7"/>
      <x:c r="J105" s="7"/>
      <x:c r="K105" s="7"/>
      <x:c r="L105" s="7"/>
      <x:c r="M105" s="14" t="str">
        <x:f>IF(A105="","",IF(COUNTIF($A$7:$A$106,A105)&lt;&gt;1,"Duplicate rate ID",IF(NOT(ISNUMBER(C105)),"Missing numeric rate",IF(D105="","Missing unit",IF(E105="","Missing currency",IF(F105="","Missing geography",IF(G105="","Missing base date",IF(H105="","Missing rate source",IF(AND(K105&lt;&gt;"Supported",K105&lt;&gt;"Scenario"),"Unpriced or invalid price basis","")))))))))</x:f>
      </x:c>
    </x:row>
    <x:row r="106" ht="26" customHeight="1">
      <x:c r="A106" s="16"/>
      <x:c r="B106" s="7"/>
      <x:c r="C106" s="8"/>
      <x:c r="D106" s="7"/>
      <x:c r="E106" s="7"/>
      <x:c r="F106" s="7"/>
      <x:c r="G106" s="9"/>
      <x:c r="H106" s="7"/>
      <x:c r="I106" s="7"/>
      <x:c r="J106" s="7"/>
      <x:c r="K106" s="7"/>
      <x:c r="L106" s="7"/>
      <x:c r="M106" s="14" t="str">
        <x:f>IF(A106="","",IF(COUNTIF($A$7:$A$106,A106)&lt;&gt;1,"Duplicate rate ID",IF(NOT(ISNUMBER(C106)),"Missing numeric rate",IF(D106="","Missing unit",IF(E106="","Missing currency",IF(F106="","Missing geography",IF(G106="","Missing base date",IF(H106="","Missing rate source",IF(AND(K106&lt;&gt;"Supported",K106&lt;&gt;"Scenario"),"Unpriced or invalid price basis","")))))))))</x:f>
      </x:c>
    </x:row>
  </x:sheetData>
  <x:dataValidations count="1">
    <x:dataValidation type="list" sqref="K7:K106">
      <x:formula1>"Supported,Scenario,Unpriced"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0" hidden="0" customWidth="1"/>
    <x:col min="2" max="2" width="32" hidden="0" customWidth="1"/>
    <x:col min="3" max="3" width="50" hidden="0" customWidth="1"/>
    <x:col min="4" max="4" width="42" hidden="0" customWidth="1"/>
    <x:col min="5" max="5" width="26" hidden="0" customWidth="1"/>
    <x:col min="6" max="6" width="50" hidden="0" customWidth="1"/>
    <x:col min="7" max="7" width="18" hidden="0" customWidth="1"/>
    <x:col min="8" max="8" width="38" hidden="0" customWidth="1"/>
  </x:cols>
  <x:sheetData>
    <x:row r="1">
      <x:c r="A1" s="2" t="str">
        <x:v>Scope and pricing queries</x:v>
      </x:c>
      <x:c r="B1" s="1"/>
      <x:c r="C1" s="1"/>
      <x:c r="D1" s="1"/>
      <x:c r="E1" s="1"/>
      <x:c r="F1" s="1"/>
      <x:c r="G1" s="1"/>
      <x:c r="H1" s="1"/>
    </x:row>
    <x:row r="2">
      <x:c r="A2" s="1"/>
      <x:c r="B2" s="1"/>
      <x:c r="C2" s="1"/>
      <x:c r="D2" s="1"/>
      <x:c r="E2" s="1"/>
      <x:c r="F2" s="1"/>
      <x:c r="G2" s="1"/>
      <x:c r="H2" s="1"/>
    </x:row>
    <x:row r="3">
      <x:c r="A3" s="3" t="str">
        <x:v>100 reserved rows. Missing quantities or rates remain in scope; no arbitrary zero substitutes.</x:v>
      </x:c>
      <x:c r="B3" s="1"/>
      <x:c r="C3" s="1"/>
      <x:c r="D3" s="1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>
      <x:c r="A5" s="1"/>
      <x:c r="B5" s="1"/>
      <x:c r="C5" s="1"/>
      <x:c r="D5" s="1"/>
      <x:c r="E5" s="1"/>
      <x:c r="F5" s="1"/>
      <x:c r="G5" s="1"/>
      <x:c r="H5" s="1"/>
    </x:row>
    <x:row r="6" ht="44" customHeight="1">
      <x:c r="A6" s="6" t="str">
        <x:v>Query ID</x:v>
      </x:c>
      <x:c r="B6" s="6" t="str">
        <x:v>Affected line / drawing</x:v>
      </x:c>
      <x:c r="C6" s="6" t="str">
        <x:v>Issue</x:v>
      </x:c>
      <x:c r="D6" s="6" t="str">
        <x:v>Cost implication / basis</x:v>
      </x:c>
      <x:c r="E6" s="6" t="str">
        <x:v>Owner</x:v>
      </x:c>
      <x:c r="F6" s="6" t="str">
        <x:v>Resolution</x:v>
      </x:c>
      <x:c r="G6" s="6" t="str">
        <x:v>Status</x:v>
      </x:c>
      <x:c r="H6" s="6" t="str">
        <x:v>Source / evidence</x:v>
      </x:c>
    </x:row>
    <x:row r="7" ht="26" customHeight="1">
      <x:c r="A7" s="16"/>
      <x:c r="B7" s="16"/>
      <x:c r="C7" s="7"/>
      <x:c r="D7" s="7"/>
      <x:c r="E7" s="7"/>
      <x:c r="F7" s="7"/>
      <x:c r="G7" s="7"/>
      <x:c r="H7" s="7"/>
    </x:row>
    <x:row r="8" ht="26" customHeight="1">
      <x:c r="A8" s="16"/>
      <x:c r="B8" s="16"/>
      <x:c r="C8" s="7"/>
      <x:c r="D8" s="7"/>
      <x:c r="E8" s="7"/>
      <x:c r="F8" s="7"/>
      <x:c r="G8" s="7"/>
      <x:c r="H8" s="7"/>
    </x:row>
    <x:row r="9" ht="26" customHeight="1">
      <x:c r="A9" s="16"/>
      <x:c r="B9" s="16"/>
      <x:c r="C9" s="7"/>
      <x:c r="D9" s="7"/>
      <x:c r="E9" s="7"/>
      <x:c r="F9" s="7"/>
      <x:c r="G9" s="7"/>
      <x:c r="H9" s="7"/>
    </x:row>
    <x:row r="10" ht="26" customHeight="1">
      <x:c r="A10" s="16"/>
      <x:c r="B10" s="16"/>
      <x:c r="C10" s="7"/>
      <x:c r="D10" s="7"/>
      <x:c r="E10" s="7"/>
      <x:c r="F10" s="7"/>
      <x:c r="G10" s="7"/>
      <x:c r="H10" s="7"/>
    </x:row>
    <x:row r="11" ht="26" customHeight="1">
      <x:c r="A11" s="16"/>
      <x:c r="B11" s="16"/>
      <x:c r="C11" s="7"/>
      <x:c r="D11" s="7"/>
      <x:c r="E11" s="7"/>
      <x:c r="F11" s="7"/>
      <x:c r="G11" s="7"/>
      <x:c r="H11" s="7"/>
    </x:row>
    <x:row r="12" ht="26" customHeight="1">
      <x:c r="A12" s="16"/>
      <x:c r="B12" s="16"/>
      <x:c r="C12" s="7"/>
      <x:c r="D12" s="7"/>
      <x:c r="E12" s="7"/>
      <x:c r="F12" s="7"/>
      <x:c r="G12" s="7"/>
      <x:c r="H12" s="7"/>
    </x:row>
    <x:row r="13" ht="26" customHeight="1">
      <x:c r="A13" s="16"/>
      <x:c r="B13" s="16"/>
      <x:c r="C13" s="7"/>
      <x:c r="D13" s="7"/>
      <x:c r="E13" s="7"/>
      <x:c r="F13" s="7"/>
      <x:c r="G13" s="7"/>
      <x:c r="H13" s="7"/>
    </x:row>
    <x:row r="14" ht="26" customHeight="1">
      <x:c r="A14" s="16"/>
      <x:c r="B14" s="16"/>
      <x:c r="C14" s="7"/>
      <x:c r="D14" s="7"/>
      <x:c r="E14" s="7"/>
      <x:c r="F14" s="7"/>
      <x:c r="G14" s="7"/>
      <x:c r="H14" s="7"/>
    </x:row>
    <x:row r="15" ht="26" customHeight="1">
      <x:c r="A15" s="16"/>
      <x:c r="B15" s="16"/>
      <x:c r="C15" s="7"/>
      <x:c r="D15" s="7"/>
      <x:c r="E15" s="7"/>
      <x:c r="F15" s="7"/>
      <x:c r="G15" s="7"/>
      <x:c r="H15" s="7"/>
    </x:row>
    <x:row r="16" ht="26" customHeight="1">
      <x:c r="A16" s="16"/>
      <x:c r="B16" s="16"/>
      <x:c r="C16" s="7"/>
      <x:c r="D16" s="7"/>
      <x:c r="E16" s="7"/>
      <x:c r="F16" s="7"/>
      <x:c r="G16" s="7"/>
      <x:c r="H16" s="7"/>
    </x:row>
    <x:row r="17" ht="26" customHeight="1">
      <x:c r="A17" s="16"/>
      <x:c r="B17" s="16"/>
      <x:c r="C17" s="7"/>
      <x:c r="D17" s="7"/>
      <x:c r="E17" s="7"/>
      <x:c r="F17" s="7"/>
      <x:c r="G17" s="7"/>
      <x:c r="H17" s="7"/>
    </x:row>
    <x:row r="18" ht="26" customHeight="1">
      <x:c r="A18" s="16"/>
      <x:c r="B18" s="16"/>
      <x:c r="C18" s="7"/>
      <x:c r="D18" s="7"/>
      <x:c r="E18" s="7"/>
      <x:c r="F18" s="7"/>
      <x:c r="G18" s="7"/>
      <x:c r="H18" s="7"/>
    </x:row>
    <x:row r="19" ht="26" customHeight="1">
      <x:c r="A19" s="16"/>
      <x:c r="B19" s="16"/>
      <x:c r="C19" s="7"/>
      <x:c r="D19" s="7"/>
      <x:c r="E19" s="7"/>
      <x:c r="F19" s="7"/>
      <x:c r="G19" s="7"/>
      <x:c r="H19" s="7"/>
    </x:row>
    <x:row r="20" ht="26" customHeight="1">
      <x:c r="A20" s="16"/>
      <x:c r="B20" s="16"/>
      <x:c r="C20" s="7"/>
      <x:c r="D20" s="7"/>
      <x:c r="E20" s="7"/>
      <x:c r="F20" s="7"/>
      <x:c r="G20" s="7"/>
      <x:c r="H20" s="7"/>
    </x:row>
    <x:row r="21" ht="26" customHeight="1">
      <x:c r="A21" s="16"/>
      <x:c r="B21" s="16"/>
      <x:c r="C21" s="7"/>
      <x:c r="D21" s="7"/>
      <x:c r="E21" s="7"/>
      <x:c r="F21" s="7"/>
      <x:c r="G21" s="7"/>
      <x:c r="H21" s="7"/>
    </x:row>
    <x:row r="22" ht="26" customHeight="1">
      <x:c r="A22" s="16"/>
      <x:c r="B22" s="16"/>
      <x:c r="C22" s="7"/>
      <x:c r="D22" s="7"/>
      <x:c r="E22" s="7"/>
      <x:c r="F22" s="7"/>
      <x:c r="G22" s="7"/>
      <x:c r="H22" s="7"/>
    </x:row>
    <x:row r="23" ht="26" customHeight="1">
      <x:c r="A23" s="16"/>
      <x:c r="B23" s="16"/>
      <x:c r="C23" s="7"/>
      <x:c r="D23" s="7"/>
      <x:c r="E23" s="7"/>
      <x:c r="F23" s="7"/>
      <x:c r="G23" s="7"/>
      <x:c r="H23" s="7"/>
    </x:row>
    <x:row r="24" ht="26" customHeight="1">
      <x:c r="A24" s="16"/>
      <x:c r="B24" s="16"/>
      <x:c r="C24" s="7"/>
      <x:c r="D24" s="7"/>
      <x:c r="E24" s="7"/>
      <x:c r="F24" s="7"/>
      <x:c r="G24" s="7"/>
      <x:c r="H24" s="7"/>
    </x:row>
    <x:row r="25" ht="26" customHeight="1">
      <x:c r="A25" s="16"/>
      <x:c r="B25" s="16"/>
      <x:c r="C25" s="7"/>
      <x:c r="D25" s="7"/>
      <x:c r="E25" s="7"/>
      <x:c r="F25" s="7"/>
      <x:c r="G25" s="7"/>
      <x:c r="H25" s="7"/>
    </x:row>
    <x:row r="26" ht="26" customHeight="1">
      <x:c r="A26" s="16"/>
      <x:c r="B26" s="16"/>
      <x:c r="C26" s="7"/>
      <x:c r="D26" s="7"/>
      <x:c r="E26" s="7"/>
      <x:c r="F26" s="7"/>
      <x:c r="G26" s="7"/>
      <x:c r="H26" s="7"/>
    </x:row>
    <x:row r="27" ht="26" customHeight="1">
      <x:c r="A27" s="16"/>
      <x:c r="B27" s="16"/>
      <x:c r="C27" s="7"/>
      <x:c r="D27" s="7"/>
      <x:c r="E27" s="7"/>
      <x:c r="F27" s="7"/>
      <x:c r="G27" s="7"/>
      <x:c r="H27" s="7"/>
    </x:row>
    <x:row r="28" ht="26" customHeight="1">
      <x:c r="A28" s="16"/>
      <x:c r="B28" s="16"/>
      <x:c r="C28" s="7"/>
      <x:c r="D28" s="7"/>
      <x:c r="E28" s="7"/>
      <x:c r="F28" s="7"/>
      <x:c r="G28" s="7"/>
      <x:c r="H28" s="7"/>
    </x:row>
    <x:row r="29" ht="26" customHeight="1">
      <x:c r="A29" s="16"/>
      <x:c r="B29" s="16"/>
      <x:c r="C29" s="7"/>
      <x:c r="D29" s="7"/>
      <x:c r="E29" s="7"/>
      <x:c r="F29" s="7"/>
      <x:c r="G29" s="7"/>
      <x:c r="H29" s="7"/>
    </x:row>
    <x:row r="30" ht="26" customHeight="1">
      <x:c r="A30" s="16"/>
      <x:c r="B30" s="16"/>
      <x:c r="C30" s="7"/>
      <x:c r="D30" s="7"/>
      <x:c r="E30" s="7"/>
      <x:c r="F30" s="7"/>
      <x:c r="G30" s="7"/>
      <x:c r="H30" s="7"/>
    </x:row>
    <x:row r="31" ht="26" customHeight="1">
      <x:c r="A31" s="16"/>
      <x:c r="B31" s="16"/>
      <x:c r="C31" s="7"/>
      <x:c r="D31" s="7"/>
      <x:c r="E31" s="7"/>
      <x:c r="F31" s="7"/>
      <x:c r="G31" s="7"/>
      <x:c r="H31" s="7"/>
    </x:row>
    <x:row r="32" ht="26" customHeight="1">
      <x:c r="A32" s="16"/>
      <x:c r="B32" s="16"/>
      <x:c r="C32" s="7"/>
      <x:c r="D32" s="7"/>
      <x:c r="E32" s="7"/>
      <x:c r="F32" s="7"/>
      <x:c r="G32" s="7"/>
      <x:c r="H32" s="7"/>
    </x:row>
    <x:row r="33" ht="26" customHeight="1">
      <x:c r="A33" s="16"/>
      <x:c r="B33" s="16"/>
      <x:c r="C33" s="7"/>
      <x:c r="D33" s="7"/>
      <x:c r="E33" s="7"/>
      <x:c r="F33" s="7"/>
      <x:c r="G33" s="7"/>
      <x:c r="H33" s="7"/>
    </x:row>
    <x:row r="34" ht="26" customHeight="1">
      <x:c r="A34" s="16"/>
      <x:c r="B34" s="16"/>
      <x:c r="C34" s="7"/>
      <x:c r="D34" s="7"/>
      <x:c r="E34" s="7"/>
      <x:c r="F34" s="7"/>
      <x:c r="G34" s="7"/>
      <x:c r="H34" s="7"/>
    </x:row>
    <x:row r="35" ht="26" customHeight="1">
      <x:c r="A35" s="16"/>
      <x:c r="B35" s="16"/>
      <x:c r="C35" s="7"/>
      <x:c r="D35" s="7"/>
      <x:c r="E35" s="7"/>
      <x:c r="F35" s="7"/>
      <x:c r="G35" s="7"/>
      <x:c r="H35" s="7"/>
    </x:row>
    <x:row r="36" ht="26" customHeight="1">
      <x:c r="A36" s="16"/>
      <x:c r="B36" s="16"/>
      <x:c r="C36" s="7"/>
      <x:c r="D36" s="7"/>
      <x:c r="E36" s="7"/>
      <x:c r="F36" s="7"/>
      <x:c r="G36" s="7"/>
      <x:c r="H36" s="7"/>
    </x:row>
    <x:row r="37" ht="26" customHeight="1">
      <x:c r="A37" s="16"/>
      <x:c r="B37" s="16"/>
      <x:c r="C37" s="7"/>
      <x:c r="D37" s="7"/>
      <x:c r="E37" s="7"/>
      <x:c r="F37" s="7"/>
      <x:c r="G37" s="7"/>
      <x:c r="H37" s="7"/>
    </x:row>
    <x:row r="38" ht="26" customHeight="1">
      <x:c r="A38" s="16"/>
      <x:c r="B38" s="16"/>
      <x:c r="C38" s="7"/>
      <x:c r="D38" s="7"/>
      <x:c r="E38" s="7"/>
      <x:c r="F38" s="7"/>
      <x:c r="G38" s="7"/>
      <x:c r="H38" s="7"/>
    </x:row>
    <x:row r="39" ht="26" customHeight="1">
      <x:c r="A39" s="16"/>
      <x:c r="B39" s="16"/>
      <x:c r="C39" s="7"/>
      <x:c r="D39" s="7"/>
      <x:c r="E39" s="7"/>
      <x:c r="F39" s="7"/>
      <x:c r="G39" s="7"/>
      <x:c r="H39" s="7"/>
    </x:row>
    <x:row r="40" ht="26" customHeight="1">
      <x:c r="A40" s="16"/>
      <x:c r="B40" s="16"/>
      <x:c r="C40" s="7"/>
      <x:c r="D40" s="7"/>
      <x:c r="E40" s="7"/>
      <x:c r="F40" s="7"/>
      <x:c r="G40" s="7"/>
      <x:c r="H40" s="7"/>
    </x:row>
    <x:row r="41" ht="26" customHeight="1">
      <x:c r="A41" s="16"/>
      <x:c r="B41" s="16"/>
      <x:c r="C41" s="7"/>
      <x:c r="D41" s="7"/>
      <x:c r="E41" s="7"/>
      <x:c r="F41" s="7"/>
      <x:c r="G41" s="7"/>
      <x:c r="H41" s="7"/>
    </x:row>
    <x:row r="42" ht="26" customHeight="1">
      <x:c r="A42" s="16"/>
      <x:c r="B42" s="16"/>
      <x:c r="C42" s="7"/>
      <x:c r="D42" s="7"/>
      <x:c r="E42" s="7"/>
      <x:c r="F42" s="7"/>
      <x:c r="G42" s="7"/>
      <x:c r="H42" s="7"/>
    </x:row>
    <x:row r="43" ht="26" customHeight="1">
      <x:c r="A43" s="16"/>
      <x:c r="B43" s="16"/>
      <x:c r="C43" s="7"/>
      <x:c r="D43" s="7"/>
      <x:c r="E43" s="7"/>
      <x:c r="F43" s="7"/>
      <x:c r="G43" s="7"/>
      <x:c r="H43" s="7"/>
    </x:row>
    <x:row r="44" ht="26" customHeight="1">
      <x:c r="A44" s="16"/>
      <x:c r="B44" s="16"/>
      <x:c r="C44" s="7"/>
      <x:c r="D44" s="7"/>
      <x:c r="E44" s="7"/>
      <x:c r="F44" s="7"/>
      <x:c r="G44" s="7"/>
      <x:c r="H44" s="7"/>
    </x:row>
    <x:row r="45" ht="26" customHeight="1">
      <x:c r="A45" s="16"/>
      <x:c r="B45" s="16"/>
      <x:c r="C45" s="7"/>
      <x:c r="D45" s="7"/>
      <x:c r="E45" s="7"/>
      <x:c r="F45" s="7"/>
      <x:c r="G45" s="7"/>
      <x:c r="H45" s="7"/>
    </x:row>
    <x:row r="46" ht="26" customHeight="1">
      <x:c r="A46" s="16"/>
      <x:c r="B46" s="16"/>
      <x:c r="C46" s="7"/>
      <x:c r="D46" s="7"/>
      <x:c r="E46" s="7"/>
      <x:c r="F46" s="7"/>
      <x:c r="G46" s="7"/>
      <x:c r="H46" s="7"/>
    </x:row>
    <x:row r="47" ht="26" customHeight="1">
      <x:c r="A47" s="16"/>
      <x:c r="B47" s="16"/>
      <x:c r="C47" s="7"/>
      <x:c r="D47" s="7"/>
      <x:c r="E47" s="7"/>
      <x:c r="F47" s="7"/>
      <x:c r="G47" s="7"/>
      <x:c r="H47" s="7"/>
    </x:row>
    <x:row r="48" ht="26" customHeight="1">
      <x:c r="A48" s="16"/>
      <x:c r="B48" s="16"/>
      <x:c r="C48" s="7"/>
      <x:c r="D48" s="7"/>
      <x:c r="E48" s="7"/>
      <x:c r="F48" s="7"/>
      <x:c r="G48" s="7"/>
      <x:c r="H48" s="7"/>
    </x:row>
    <x:row r="49" ht="26" customHeight="1">
      <x:c r="A49" s="16"/>
      <x:c r="B49" s="16"/>
      <x:c r="C49" s="7"/>
      <x:c r="D49" s="7"/>
      <x:c r="E49" s="7"/>
      <x:c r="F49" s="7"/>
      <x:c r="G49" s="7"/>
      <x:c r="H49" s="7"/>
    </x:row>
    <x:row r="50" ht="26" customHeight="1">
      <x:c r="A50" s="16"/>
      <x:c r="B50" s="16"/>
      <x:c r="C50" s="7"/>
      <x:c r="D50" s="7"/>
      <x:c r="E50" s="7"/>
      <x:c r="F50" s="7"/>
      <x:c r="G50" s="7"/>
      <x:c r="H50" s="7"/>
    </x:row>
    <x:row r="51" ht="26" customHeight="1">
      <x:c r="A51" s="16"/>
      <x:c r="B51" s="16"/>
      <x:c r="C51" s="7"/>
      <x:c r="D51" s="7"/>
      <x:c r="E51" s="7"/>
      <x:c r="F51" s="7"/>
      <x:c r="G51" s="7"/>
      <x:c r="H51" s="7"/>
    </x:row>
    <x:row r="52" ht="26" customHeight="1">
      <x:c r="A52" s="16"/>
      <x:c r="B52" s="16"/>
      <x:c r="C52" s="7"/>
      <x:c r="D52" s="7"/>
      <x:c r="E52" s="7"/>
      <x:c r="F52" s="7"/>
      <x:c r="G52" s="7"/>
      <x:c r="H52" s="7"/>
    </x:row>
    <x:row r="53" ht="26" customHeight="1">
      <x:c r="A53" s="16"/>
      <x:c r="B53" s="16"/>
      <x:c r="C53" s="7"/>
      <x:c r="D53" s="7"/>
      <x:c r="E53" s="7"/>
      <x:c r="F53" s="7"/>
      <x:c r="G53" s="7"/>
      <x:c r="H53" s="7"/>
    </x:row>
    <x:row r="54" ht="26" customHeight="1">
      <x:c r="A54" s="16"/>
      <x:c r="B54" s="16"/>
      <x:c r="C54" s="7"/>
      <x:c r="D54" s="7"/>
      <x:c r="E54" s="7"/>
      <x:c r="F54" s="7"/>
      <x:c r="G54" s="7"/>
      <x:c r="H54" s="7"/>
    </x:row>
    <x:row r="55" ht="26" customHeight="1">
      <x:c r="A55" s="16"/>
      <x:c r="B55" s="16"/>
      <x:c r="C55" s="7"/>
      <x:c r="D55" s="7"/>
      <x:c r="E55" s="7"/>
      <x:c r="F55" s="7"/>
      <x:c r="G55" s="7"/>
      <x:c r="H55" s="7"/>
    </x:row>
    <x:row r="56" ht="26" customHeight="1">
      <x:c r="A56" s="16"/>
      <x:c r="B56" s="16"/>
      <x:c r="C56" s="7"/>
      <x:c r="D56" s="7"/>
      <x:c r="E56" s="7"/>
      <x:c r="F56" s="7"/>
      <x:c r="G56" s="7"/>
      <x:c r="H56" s="7"/>
    </x:row>
    <x:row r="57" ht="26" customHeight="1">
      <x:c r="A57" s="16"/>
      <x:c r="B57" s="16"/>
      <x:c r="C57" s="7"/>
      <x:c r="D57" s="7"/>
      <x:c r="E57" s="7"/>
      <x:c r="F57" s="7"/>
      <x:c r="G57" s="7"/>
      <x:c r="H57" s="7"/>
    </x:row>
    <x:row r="58" ht="26" customHeight="1">
      <x:c r="A58" s="16"/>
      <x:c r="B58" s="16"/>
      <x:c r="C58" s="7"/>
      <x:c r="D58" s="7"/>
      <x:c r="E58" s="7"/>
      <x:c r="F58" s="7"/>
      <x:c r="G58" s="7"/>
      <x:c r="H58" s="7"/>
    </x:row>
    <x:row r="59" ht="26" customHeight="1">
      <x:c r="A59" s="16"/>
      <x:c r="B59" s="16"/>
      <x:c r="C59" s="7"/>
      <x:c r="D59" s="7"/>
      <x:c r="E59" s="7"/>
      <x:c r="F59" s="7"/>
      <x:c r="G59" s="7"/>
      <x:c r="H59" s="7"/>
    </x:row>
    <x:row r="60" ht="26" customHeight="1">
      <x:c r="A60" s="16"/>
      <x:c r="B60" s="16"/>
      <x:c r="C60" s="7"/>
      <x:c r="D60" s="7"/>
      <x:c r="E60" s="7"/>
      <x:c r="F60" s="7"/>
      <x:c r="G60" s="7"/>
      <x:c r="H60" s="7"/>
    </x:row>
    <x:row r="61" ht="26" customHeight="1">
      <x:c r="A61" s="16"/>
      <x:c r="B61" s="16"/>
      <x:c r="C61" s="7"/>
      <x:c r="D61" s="7"/>
      <x:c r="E61" s="7"/>
      <x:c r="F61" s="7"/>
      <x:c r="G61" s="7"/>
      <x:c r="H61" s="7"/>
    </x:row>
    <x:row r="62" ht="26" customHeight="1">
      <x:c r="A62" s="16"/>
      <x:c r="B62" s="16"/>
      <x:c r="C62" s="7"/>
      <x:c r="D62" s="7"/>
      <x:c r="E62" s="7"/>
      <x:c r="F62" s="7"/>
      <x:c r="G62" s="7"/>
      <x:c r="H62" s="7"/>
    </x:row>
    <x:row r="63" ht="26" customHeight="1">
      <x:c r="A63" s="16"/>
      <x:c r="B63" s="16"/>
      <x:c r="C63" s="7"/>
      <x:c r="D63" s="7"/>
      <x:c r="E63" s="7"/>
      <x:c r="F63" s="7"/>
      <x:c r="G63" s="7"/>
      <x:c r="H63" s="7"/>
    </x:row>
    <x:row r="64" ht="26" customHeight="1">
      <x:c r="A64" s="16"/>
      <x:c r="B64" s="16"/>
      <x:c r="C64" s="7"/>
      <x:c r="D64" s="7"/>
      <x:c r="E64" s="7"/>
      <x:c r="F64" s="7"/>
      <x:c r="G64" s="7"/>
      <x:c r="H64" s="7"/>
    </x:row>
    <x:row r="65" ht="26" customHeight="1">
      <x:c r="A65" s="16"/>
      <x:c r="B65" s="16"/>
      <x:c r="C65" s="7"/>
      <x:c r="D65" s="7"/>
      <x:c r="E65" s="7"/>
      <x:c r="F65" s="7"/>
      <x:c r="G65" s="7"/>
      <x:c r="H65" s="7"/>
    </x:row>
    <x:row r="66" ht="26" customHeight="1">
      <x:c r="A66" s="16"/>
      <x:c r="B66" s="16"/>
      <x:c r="C66" s="7"/>
      <x:c r="D66" s="7"/>
      <x:c r="E66" s="7"/>
      <x:c r="F66" s="7"/>
      <x:c r="G66" s="7"/>
      <x:c r="H66" s="7"/>
    </x:row>
    <x:row r="67" ht="26" customHeight="1">
      <x:c r="A67" s="16"/>
      <x:c r="B67" s="16"/>
      <x:c r="C67" s="7"/>
      <x:c r="D67" s="7"/>
      <x:c r="E67" s="7"/>
      <x:c r="F67" s="7"/>
      <x:c r="G67" s="7"/>
      <x:c r="H67" s="7"/>
    </x:row>
    <x:row r="68" ht="26" customHeight="1">
      <x:c r="A68" s="16"/>
      <x:c r="B68" s="16"/>
      <x:c r="C68" s="7"/>
      <x:c r="D68" s="7"/>
      <x:c r="E68" s="7"/>
      <x:c r="F68" s="7"/>
      <x:c r="G68" s="7"/>
      <x:c r="H68" s="7"/>
    </x:row>
    <x:row r="69" ht="26" customHeight="1">
      <x:c r="A69" s="16"/>
      <x:c r="B69" s="16"/>
      <x:c r="C69" s="7"/>
      <x:c r="D69" s="7"/>
      <x:c r="E69" s="7"/>
      <x:c r="F69" s="7"/>
      <x:c r="G69" s="7"/>
      <x:c r="H69" s="7"/>
    </x:row>
    <x:row r="70" ht="26" customHeight="1">
      <x:c r="A70" s="16"/>
      <x:c r="B70" s="16"/>
      <x:c r="C70" s="7"/>
      <x:c r="D70" s="7"/>
      <x:c r="E70" s="7"/>
      <x:c r="F70" s="7"/>
      <x:c r="G70" s="7"/>
      <x:c r="H70" s="7"/>
    </x:row>
    <x:row r="71" ht="26" customHeight="1">
      <x:c r="A71" s="16"/>
      <x:c r="B71" s="16"/>
      <x:c r="C71" s="7"/>
      <x:c r="D71" s="7"/>
      <x:c r="E71" s="7"/>
      <x:c r="F71" s="7"/>
      <x:c r="G71" s="7"/>
      <x:c r="H71" s="7"/>
    </x:row>
    <x:row r="72" ht="26" customHeight="1">
      <x:c r="A72" s="16"/>
      <x:c r="B72" s="16"/>
      <x:c r="C72" s="7"/>
      <x:c r="D72" s="7"/>
      <x:c r="E72" s="7"/>
      <x:c r="F72" s="7"/>
      <x:c r="G72" s="7"/>
      <x:c r="H72" s="7"/>
    </x:row>
    <x:row r="73" ht="26" customHeight="1">
      <x:c r="A73" s="16"/>
      <x:c r="B73" s="16"/>
      <x:c r="C73" s="7"/>
      <x:c r="D73" s="7"/>
      <x:c r="E73" s="7"/>
      <x:c r="F73" s="7"/>
      <x:c r="G73" s="7"/>
      <x:c r="H73" s="7"/>
    </x:row>
    <x:row r="74" ht="26" customHeight="1">
      <x:c r="A74" s="16"/>
      <x:c r="B74" s="16"/>
      <x:c r="C74" s="7"/>
      <x:c r="D74" s="7"/>
      <x:c r="E74" s="7"/>
      <x:c r="F74" s="7"/>
      <x:c r="G74" s="7"/>
      <x:c r="H74" s="7"/>
    </x:row>
    <x:row r="75" ht="26" customHeight="1">
      <x:c r="A75" s="16"/>
      <x:c r="B75" s="16"/>
      <x:c r="C75" s="7"/>
      <x:c r="D75" s="7"/>
      <x:c r="E75" s="7"/>
      <x:c r="F75" s="7"/>
      <x:c r="G75" s="7"/>
      <x:c r="H75" s="7"/>
    </x:row>
    <x:row r="76" ht="26" customHeight="1">
      <x:c r="A76" s="16"/>
      <x:c r="B76" s="16"/>
      <x:c r="C76" s="7"/>
      <x:c r="D76" s="7"/>
      <x:c r="E76" s="7"/>
      <x:c r="F76" s="7"/>
      <x:c r="G76" s="7"/>
      <x:c r="H76" s="7"/>
    </x:row>
    <x:row r="77" ht="26" customHeight="1">
      <x:c r="A77" s="16"/>
      <x:c r="B77" s="16"/>
      <x:c r="C77" s="7"/>
      <x:c r="D77" s="7"/>
      <x:c r="E77" s="7"/>
      <x:c r="F77" s="7"/>
      <x:c r="G77" s="7"/>
      <x:c r="H77" s="7"/>
    </x:row>
    <x:row r="78" ht="26" customHeight="1">
      <x:c r="A78" s="16"/>
      <x:c r="B78" s="16"/>
      <x:c r="C78" s="7"/>
      <x:c r="D78" s="7"/>
      <x:c r="E78" s="7"/>
      <x:c r="F78" s="7"/>
      <x:c r="G78" s="7"/>
      <x:c r="H78" s="7"/>
    </x:row>
    <x:row r="79" ht="26" customHeight="1">
      <x:c r="A79" s="16"/>
      <x:c r="B79" s="16"/>
      <x:c r="C79" s="7"/>
      <x:c r="D79" s="7"/>
      <x:c r="E79" s="7"/>
      <x:c r="F79" s="7"/>
      <x:c r="G79" s="7"/>
      <x:c r="H79" s="7"/>
    </x:row>
    <x:row r="80" ht="26" customHeight="1">
      <x:c r="A80" s="16"/>
      <x:c r="B80" s="16"/>
      <x:c r="C80" s="7"/>
      <x:c r="D80" s="7"/>
      <x:c r="E80" s="7"/>
      <x:c r="F80" s="7"/>
      <x:c r="G80" s="7"/>
      <x:c r="H80" s="7"/>
    </x:row>
    <x:row r="81" ht="26" customHeight="1">
      <x:c r="A81" s="16"/>
      <x:c r="B81" s="16"/>
      <x:c r="C81" s="7"/>
      <x:c r="D81" s="7"/>
      <x:c r="E81" s="7"/>
      <x:c r="F81" s="7"/>
      <x:c r="G81" s="7"/>
      <x:c r="H81" s="7"/>
    </x:row>
    <x:row r="82" ht="26" customHeight="1">
      <x:c r="A82" s="16"/>
      <x:c r="B82" s="16"/>
      <x:c r="C82" s="7"/>
      <x:c r="D82" s="7"/>
      <x:c r="E82" s="7"/>
      <x:c r="F82" s="7"/>
      <x:c r="G82" s="7"/>
      <x:c r="H82" s="7"/>
    </x:row>
    <x:row r="83" ht="26" customHeight="1">
      <x:c r="A83" s="16"/>
      <x:c r="B83" s="16"/>
      <x:c r="C83" s="7"/>
      <x:c r="D83" s="7"/>
      <x:c r="E83" s="7"/>
      <x:c r="F83" s="7"/>
      <x:c r="G83" s="7"/>
      <x:c r="H83" s="7"/>
    </x:row>
    <x:row r="84" ht="26" customHeight="1">
      <x:c r="A84" s="16"/>
      <x:c r="B84" s="16"/>
      <x:c r="C84" s="7"/>
      <x:c r="D84" s="7"/>
      <x:c r="E84" s="7"/>
      <x:c r="F84" s="7"/>
      <x:c r="G84" s="7"/>
      <x:c r="H84" s="7"/>
    </x:row>
    <x:row r="85" ht="26" customHeight="1">
      <x:c r="A85" s="16"/>
      <x:c r="B85" s="16"/>
      <x:c r="C85" s="7"/>
      <x:c r="D85" s="7"/>
      <x:c r="E85" s="7"/>
      <x:c r="F85" s="7"/>
      <x:c r="G85" s="7"/>
      <x:c r="H85" s="7"/>
    </x:row>
    <x:row r="86" ht="26" customHeight="1">
      <x:c r="A86" s="16"/>
      <x:c r="B86" s="16"/>
      <x:c r="C86" s="7"/>
      <x:c r="D86" s="7"/>
      <x:c r="E86" s="7"/>
      <x:c r="F86" s="7"/>
      <x:c r="G86" s="7"/>
      <x:c r="H86" s="7"/>
    </x:row>
    <x:row r="87" ht="26" customHeight="1">
      <x:c r="A87" s="16"/>
      <x:c r="B87" s="16"/>
      <x:c r="C87" s="7"/>
      <x:c r="D87" s="7"/>
      <x:c r="E87" s="7"/>
      <x:c r="F87" s="7"/>
      <x:c r="G87" s="7"/>
      <x:c r="H87" s="7"/>
    </x:row>
    <x:row r="88" ht="26" customHeight="1">
      <x:c r="A88" s="16"/>
      <x:c r="B88" s="16"/>
      <x:c r="C88" s="7"/>
      <x:c r="D88" s="7"/>
      <x:c r="E88" s="7"/>
      <x:c r="F88" s="7"/>
      <x:c r="G88" s="7"/>
      <x:c r="H88" s="7"/>
    </x:row>
    <x:row r="89" ht="26" customHeight="1">
      <x:c r="A89" s="16"/>
      <x:c r="B89" s="16"/>
      <x:c r="C89" s="7"/>
      <x:c r="D89" s="7"/>
      <x:c r="E89" s="7"/>
      <x:c r="F89" s="7"/>
      <x:c r="G89" s="7"/>
      <x:c r="H89" s="7"/>
    </x:row>
    <x:row r="90" ht="26" customHeight="1">
      <x:c r="A90" s="16"/>
      <x:c r="B90" s="16"/>
      <x:c r="C90" s="7"/>
      <x:c r="D90" s="7"/>
      <x:c r="E90" s="7"/>
      <x:c r="F90" s="7"/>
      <x:c r="G90" s="7"/>
      <x:c r="H90" s="7"/>
    </x:row>
    <x:row r="91" ht="26" customHeight="1">
      <x:c r="A91" s="16"/>
      <x:c r="B91" s="16"/>
      <x:c r="C91" s="7"/>
      <x:c r="D91" s="7"/>
      <x:c r="E91" s="7"/>
      <x:c r="F91" s="7"/>
      <x:c r="G91" s="7"/>
      <x:c r="H91" s="7"/>
    </x:row>
    <x:row r="92" ht="26" customHeight="1">
      <x:c r="A92" s="16"/>
      <x:c r="B92" s="16"/>
      <x:c r="C92" s="7"/>
      <x:c r="D92" s="7"/>
      <x:c r="E92" s="7"/>
      <x:c r="F92" s="7"/>
      <x:c r="G92" s="7"/>
      <x:c r="H92" s="7"/>
    </x:row>
    <x:row r="93" ht="26" customHeight="1">
      <x:c r="A93" s="16"/>
      <x:c r="B93" s="16"/>
      <x:c r="C93" s="7"/>
      <x:c r="D93" s="7"/>
      <x:c r="E93" s="7"/>
      <x:c r="F93" s="7"/>
      <x:c r="G93" s="7"/>
      <x:c r="H93" s="7"/>
    </x:row>
    <x:row r="94" ht="26" customHeight="1">
      <x:c r="A94" s="16"/>
      <x:c r="B94" s="16"/>
      <x:c r="C94" s="7"/>
      <x:c r="D94" s="7"/>
      <x:c r="E94" s="7"/>
      <x:c r="F94" s="7"/>
      <x:c r="G94" s="7"/>
      <x:c r="H94" s="7"/>
    </x:row>
    <x:row r="95" ht="26" customHeight="1">
      <x:c r="A95" s="16"/>
      <x:c r="B95" s="16"/>
      <x:c r="C95" s="7"/>
      <x:c r="D95" s="7"/>
      <x:c r="E95" s="7"/>
      <x:c r="F95" s="7"/>
      <x:c r="G95" s="7"/>
      <x:c r="H95" s="7"/>
    </x:row>
    <x:row r="96" ht="26" customHeight="1">
      <x:c r="A96" s="16"/>
      <x:c r="B96" s="16"/>
      <x:c r="C96" s="7"/>
      <x:c r="D96" s="7"/>
      <x:c r="E96" s="7"/>
      <x:c r="F96" s="7"/>
      <x:c r="G96" s="7"/>
      <x:c r="H96" s="7"/>
    </x:row>
    <x:row r="97" ht="26" customHeight="1">
      <x:c r="A97" s="16"/>
      <x:c r="B97" s="16"/>
      <x:c r="C97" s="7"/>
      <x:c r="D97" s="7"/>
      <x:c r="E97" s="7"/>
      <x:c r="F97" s="7"/>
      <x:c r="G97" s="7"/>
      <x:c r="H97" s="7"/>
    </x:row>
    <x:row r="98" ht="26" customHeight="1">
      <x:c r="A98" s="16"/>
      <x:c r="B98" s="16"/>
      <x:c r="C98" s="7"/>
      <x:c r="D98" s="7"/>
      <x:c r="E98" s="7"/>
      <x:c r="F98" s="7"/>
      <x:c r="G98" s="7"/>
      <x:c r="H98" s="7"/>
    </x:row>
    <x:row r="99" ht="26" customHeight="1">
      <x:c r="A99" s="16"/>
      <x:c r="B99" s="16"/>
      <x:c r="C99" s="7"/>
      <x:c r="D99" s="7"/>
      <x:c r="E99" s="7"/>
      <x:c r="F99" s="7"/>
      <x:c r="G99" s="7"/>
      <x:c r="H99" s="7"/>
    </x:row>
    <x:row r="100" ht="26" customHeight="1">
      <x:c r="A100" s="16"/>
      <x:c r="B100" s="16"/>
      <x:c r="C100" s="7"/>
      <x:c r="D100" s="7"/>
      <x:c r="E100" s="7"/>
      <x:c r="F100" s="7"/>
      <x:c r="G100" s="7"/>
      <x:c r="H100" s="7"/>
    </x:row>
    <x:row r="101" ht="26" customHeight="1">
      <x:c r="A101" s="16"/>
      <x:c r="B101" s="16"/>
      <x:c r="C101" s="7"/>
      <x:c r="D101" s="7"/>
      <x:c r="E101" s="7"/>
      <x:c r="F101" s="7"/>
      <x:c r="G101" s="7"/>
      <x:c r="H101" s="7"/>
    </x:row>
    <x:row r="102" ht="26" customHeight="1">
      <x:c r="A102" s="16"/>
      <x:c r="B102" s="16"/>
      <x:c r="C102" s="7"/>
      <x:c r="D102" s="7"/>
      <x:c r="E102" s="7"/>
      <x:c r="F102" s="7"/>
      <x:c r="G102" s="7"/>
      <x:c r="H102" s="7"/>
    </x:row>
    <x:row r="103" ht="26" customHeight="1">
      <x:c r="A103" s="16"/>
      <x:c r="B103" s="16"/>
      <x:c r="C103" s="7"/>
      <x:c r="D103" s="7"/>
      <x:c r="E103" s="7"/>
      <x:c r="F103" s="7"/>
      <x:c r="G103" s="7"/>
      <x:c r="H103" s="7"/>
    </x:row>
    <x:row r="104" ht="26" customHeight="1">
      <x:c r="A104" s="16"/>
      <x:c r="B104" s="16"/>
      <x:c r="C104" s="7"/>
      <x:c r="D104" s="7"/>
      <x:c r="E104" s="7"/>
      <x:c r="F104" s="7"/>
      <x:c r="G104" s="7"/>
      <x:c r="H104" s="7"/>
    </x:row>
    <x:row r="105" ht="26" customHeight="1">
      <x:c r="A105" s="16"/>
      <x:c r="B105" s="16"/>
      <x:c r="C105" s="7"/>
      <x:c r="D105" s="7"/>
      <x:c r="E105" s="7"/>
      <x:c r="F105" s="7"/>
      <x:c r="G105" s="7"/>
      <x:c r="H105" s="7"/>
    </x:row>
    <x:row r="106" ht="26" customHeight="1">
      <x:c r="A106" s="16"/>
      <x:c r="B106" s="16"/>
      <x:c r="C106" s="7"/>
      <x:c r="D106" s="7"/>
      <x:c r="E106" s="7"/>
      <x:c r="F106" s="7"/>
      <x:c r="G106" s="7"/>
      <x:c r="H106" s="7"/>
    </x:row>
  </x:sheetData>
  <x:dataValidations count="1">
    <x:dataValidation type="list" sqref="G7:G106">
      <x:formula1>"Open,Resolved,Deferred"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2" hidden="0" customWidth="1"/>
    <x:col min="2" max="2" width="20" hidden="0" customWidth="1"/>
    <x:col min="3" max="3" width="24" hidden="0" customWidth="1"/>
    <x:col min="4" max="4" width="20" hidden="0" customWidth="1"/>
    <x:col min="5" max="5" width="18" hidden="0" customWidth="1"/>
    <x:col min="6" max="6" width="44" hidden="0" customWidth="1"/>
    <x:col min="7" max="7" width="20" hidden="0" customWidth="1"/>
    <x:col min="8" max="8" width="20" hidden="0" customWidth="1"/>
    <x:col min="9" max="9" width="38" hidden="0" customWidth="1"/>
  </x:cols>
  <x:sheetData>
    <x:row r="1">
      <x:c r="A1" s="2" t="str">
        <x:v>Company code allocation</x:v>
      </x:c>
      <x:c r="B1" s="1"/>
      <x:c r="C1" s="1"/>
      <x:c r="D1" s="1"/>
      <x:c r="E1" s="1"/>
      <x:c r="F1" s="1"/>
      <x:c r="G1" s="1"/>
      <x:c r="H1" s="1"/>
      <x:c r="I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</x:row>
    <x:row r="3">
      <x:c r="A3" s="3" t="str">
        <x:v>100 reserved rows. Shares for each priced line must total 1; preserve literal codes and confirmed/provisional/unallocated states.</x:v>
      </x:c>
      <x:c r="B3" s="1"/>
      <x:c r="C3" s="1"/>
      <x:c r="D3" s="1"/>
      <x:c r="E3" s="1"/>
      <x:c r="F3" s="1"/>
      <x:c r="G3" s="1"/>
      <x:c r="H3" s="1"/>
      <x:c r="I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</x:row>
    <x:row r="6" ht="44" customHeight="1">
      <x:c r="A6" s="6" t="str">
        <x:v>Allocation ID</x:v>
      </x:c>
      <x:c r="B6" s="6" t="str">
        <x:v>Line ID</x:v>
      </x:c>
      <x:c r="C6" s="6" t="str">
        <x:v>Literal company code</x:v>
      </x:c>
      <x:c r="D6" s="6" t="str">
        <x:v>Coding state</x:v>
      </x:c>
      <x:c r="E6" s="6" t="str">
        <x:v>Allocation share</x:v>
      </x:c>
      <x:c r="F6" s="6" t="str">
        <x:v>Source / version / definition</x:v>
      </x:c>
      <x:c r="G6" s="6" t="str">
        <x:v>Linked line amount</x:v>
      </x:c>
      <x:c r="H6" s="6" t="str">
        <x:v>Allocated amount</x:v>
      </x:c>
      <x:c r="I6" s="6" t="str">
        <x:v>Input query</x:v>
      </x:c>
    </x:row>
    <x:row r="7" ht="26" customHeight="1">
      <x:c r="A7" s="16"/>
      <x:c r="B7" s="16"/>
      <x:c r="C7" s="16"/>
      <x:c r="D7" s="16"/>
      <x:c r="E7" s="11"/>
      <x:c r="F7" s="7"/>
      <x:c r="G7" s="15" t="str">
        <x:f>IF(OR(B7="",COUNTIF('Takeoff'!$A$7:$A$106,B7)&lt;&gt;1),"",IF(NOT(ISNUMBER(INDEX('Takeoff'!$O$7:$O$106,MATCH(B7,'Takeoff'!$A$7:$A$106,0)))),"",INDEX('Takeoff'!$O$7:$O$106,MATCH(B7,'Takeoff'!$A$7:$A$106,0))))</x:f>
      </x:c>
      <x:c r="H7" s="15" t="str">
        <x:f>IF(OR(A7="",I7&lt;&gt;""),"",G7*E7)</x:f>
      </x:c>
      <x:c r="I7" s="14" t="str">
        <x:f>IF(A7="","",IF(COUNTIF($A$7:$A$106,A7)&lt;&gt;1,"Duplicate allocation ID",IF(NOT(ISNUMBER(G7)),"Missing valid priced line",IF(AND(D7&lt;&gt;"Confirmed",D7&lt;&gt;"Provisional",D7&lt;&gt;"Unallocated"),"Missing coding state",IF(AND(D7&lt;&gt;"Unallocated",C7=""),"Missing code",IF(AND(D7&lt;&gt;"Unallocated",F7=""),"Missing code evidence",IF(NOT(ISNUMBER(E7)),"Missing allocation share",IF(OR(E7&lt;0,E7&gt;1),"Invalid allocation share",IF(ABS(SUMIF($B$7:$B$106,B7,$E$7:$E$106)-1)&gt;0.000000001,"Line shares must total 1","")))))))))</x:f>
      </x:c>
    </x:row>
    <x:row r="8" ht="26" customHeight="1">
      <x:c r="A8" s="16"/>
      <x:c r="B8" s="16"/>
      <x:c r="C8" s="16"/>
      <x:c r="D8" s="16"/>
      <x:c r="E8" s="11"/>
      <x:c r="F8" s="7"/>
      <x:c r="G8" s="15" t="str">
        <x:f>IF(OR(B8="",COUNTIF('Takeoff'!$A$7:$A$106,B8)&lt;&gt;1),"",IF(NOT(ISNUMBER(INDEX('Takeoff'!$O$7:$O$106,MATCH(B8,'Takeoff'!$A$7:$A$106,0)))),"",INDEX('Takeoff'!$O$7:$O$106,MATCH(B8,'Takeoff'!$A$7:$A$106,0))))</x:f>
      </x:c>
      <x:c r="H8" s="15" t="str">
        <x:f>IF(OR(A8="",I8&lt;&gt;""),"",G8*E8)</x:f>
      </x:c>
      <x:c r="I8" s="14" t="str">
        <x:f>IF(A8="","",IF(COUNTIF($A$7:$A$106,A8)&lt;&gt;1,"Duplicate allocation ID",IF(NOT(ISNUMBER(G8)),"Missing valid priced line",IF(AND(D8&lt;&gt;"Confirmed",D8&lt;&gt;"Provisional",D8&lt;&gt;"Unallocated"),"Missing coding state",IF(AND(D8&lt;&gt;"Unallocated",C8=""),"Missing code",IF(AND(D8&lt;&gt;"Unallocated",F8=""),"Missing code evidence",IF(NOT(ISNUMBER(E8)),"Missing allocation share",IF(OR(E8&lt;0,E8&gt;1),"Invalid allocation share",IF(ABS(SUMIF($B$7:$B$106,B8,$E$7:$E$106)-1)&gt;0.000000001,"Line shares must total 1","")))))))))</x:f>
      </x:c>
    </x:row>
    <x:row r="9" ht="26" customHeight="1">
      <x:c r="A9" s="16"/>
      <x:c r="B9" s="16"/>
      <x:c r="C9" s="16"/>
      <x:c r="D9" s="16"/>
      <x:c r="E9" s="11"/>
      <x:c r="F9" s="7"/>
      <x:c r="G9" s="15" t="str">
        <x:f>IF(OR(B9="",COUNTIF('Takeoff'!$A$7:$A$106,B9)&lt;&gt;1),"",IF(NOT(ISNUMBER(INDEX('Takeoff'!$O$7:$O$106,MATCH(B9,'Takeoff'!$A$7:$A$106,0)))),"",INDEX('Takeoff'!$O$7:$O$106,MATCH(B9,'Takeoff'!$A$7:$A$106,0))))</x:f>
      </x:c>
      <x:c r="H9" s="15" t="str">
        <x:f>IF(OR(A9="",I9&lt;&gt;""),"",G9*E9)</x:f>
      </x:c>
      <x:c r="I9" s="14" t="str">
        <x:f>IF(A9="","",IF(COUNTIF($A$7:$A$106,A9)&lt;&gt;1,"Duplicate allocation ID",IF(NOT(ISNUMBER(G9)),"Missing valid priced line",IF(AND(D9&lt;&gt;"Confirmed",D9&lt;&gt;"Provisional",D9&lt;&gt;"Unallocated"),"Missing coding state",IF(AND(D9&lt;&gt;"Unallocated",C9=""),"Missing code",IF(AND(D9&lt;&gt;"Unallocated",F9=""),"Missing code evidence",IF(NOT(ISNUMBER(E9)),"Missing allocation share",IF(OR(E9&lt;0,E9&gt;1),"Invalid allocation share",IF(ABS(SUMIF($B$7:$B$106,B9,$E$7:$E$106)-1)&gt;0.000000001,"Line shares must total 1","")))))))))</x:f>
      </x:c>
    </x:row>
    <x:row r="10" ht="26" customHeight="1">
      <x:c r="A10" s="16"/>
      <x:c r="B10" s="16"/>
      <x:c r="C10" s="16"/>
      <x:c r="D10" s="16"/>
      <x:c r="E10" s="11"/>
      <x:c r="F10" s="7"/>
      <x:c r="G10" s="15" t="str">
        <x:f>IF(OR(B10="",COUNTIF('Takeoff'!$A$7:$A$106,B10)&lt;&gt;1),"",IF(NOT(ISNUMBER(INDEX('Takeoff'!$O$7:$O$106,MATCH(B10,'Takeoff'!$A$7:$A$106,0)))),"",INDEX('Takeoff'!$O$7:$O$106,MATCH(B10,'Takeoff'!$A$7:$A$106,0))))</x:f>
      </x:c>
      <x:c r="H10" s="15" t="str">
        <x:f>IF(OR(A10="",I10&lt;&gt;""),"",G10*E10)</x:f>
      </x:c>
      <x:c r="I10" s="14" t="str">
        <x:f>IF(A10="","",IF(COUNTIF($A$7:$A$106,A10)&lt;&gt;1,"Duplicate allocation ID",IF(NOT(ISNUMBER(G10)),"Missing valid priced line",IF(AND(D10&lt;&gt;"Confirmed",D10&lt;&gt;"Provisional",D10&lt;&gt;"Unallocated"),"Missing coding state",IF(AND(D10&lt;&gt;"Unallocated",C10=""),"Missing code",IF(AND(D10&lt;&gt;"Unallocated",F10=""),"Missing code evidence",IF(NOT(ISNUMBER(E10)),"Missing allocation share",IF(OR(E10&lt;0,E10&gt;1),"Invalid allocation share",IF(ABS(SUMIF($B$7:$B$106,B10,$E$7:$E$106)-1)&gt;0.000000001,"Line shares must total 1","")))))))))</x:f>
      </x:c>
    </x:row>
    <x:row r="11" ht="26" customHeight="1">
      <x:c r="A11" s="16"/>
      <x:c r="B11" s="16"/>
      <x:c r="C11" s="16"/>
      <x:c r="D11" s="16"/>
      <x:c r="E11" s="11"/>
      <x:c r="F11" s="7"/>
      <x:c r="G11" s="15" t="str">
        <x:f>IF(OR(B11="",COUNTIF('Takeoff'!$A$7:$A$106,B11)&lt;&gt;1),"",IF(NOT(ISNUMBER(INDEX('Takeoff'!$O$7:$O$106,MATCH(B11,'Takeoff'!$A$7:$A$106,0)))),"",INDEX('Takeoff'!$O$7:$O$106,MATCH(B11,'Takeoff'!$A$7:$A$106,0))))</x:f>
      </x:c>
      <x:c r="H11" s="15" t="str">
        <x:f>IF(OR(A11="",I11&lt;&gt;""),"",G11*E11)</x:f>
      </x:c>
      <x:c r="I11" s="14" t="str">
        <x:f>IF(A11="","",IF(COUNTIF($A$7:$A$106,A11)&lt;&gt;1,"Duplicate allocation ID",IF(NOT(ISNUMBER(G11)),"Missing valid priced line",IF(AND(D11&lt;&gt;"Confirmed",D11&lt;&gt;"Provisional",D11&lt;&gt;"Unallocated"),"Missing coding state",IF(AND(D11&lt;&gt;"Unallocated",C11=""),"Missing code",IF(AND(D11&lt;&gt;"Unallocated",F11=""),"Missing code evidence",IF(NOT(ISNUMBER(E11)),"Missing allocation share",IF(OR(E11&lt;0,E11&gt;1),"Invalid allocation share",IF(ABS(SUMIF($B$7:$B$106,B11,$E$7:$E$106)-1)&gt;0.000000001,"Line shares must total 1","")))))))))</x:f>
      </x:c>
    </x:row>
    <x:row r="12" ht="26" customHeight="1">
      <x:c r="A12" s="16"/>
      <x:c r="B12" s="16"/>
      <x:c r="C12" s="16"/>
      <x:c r="D12" s="16"/>
      <x:c r="E12" s="11"/>
      <x:c r="F12" s="7"/>
      <x:c r="G12" s="15" t="str">
        <x:f>IF(OR(B12="",COUNTIF('Takeoff'!$A$7:$A$106,B12)&lt;&gt;1),"",IF(NOT(ISNUMBER(INDEX('Takeoff'!$O$7:$O$106,MATCH(B12,'Takeoff'!$A$7:$A$106,0)))),"",INDEX('Takeoff'!$O$7:$O$106,MATCH(B12,'Takeoff'!$A$7:$A$106,0))))</x:f>
      </x:c>
      <x:c r="H12" s="15" t="str">
        <x:f>IF(OR(A12="",I12&lt;&gt;""),"",G12*E12)</x:f>
      </x:c>
      <x:c r="I12" s="14" t="str">
        <x:f>IF(A12="","",IF(COUNTIF($A$7:$A$106,A12)&lt;&gt;1,"Duplicate allocation ID",IF(NOT(ISNUMBER(G12)),"Missing valid priced line",IF(AND(D12&lt;&gt;"Confirmed",D12&lt;&gt;"Provisional",D12&lt;&gt;"Unallocated"),"Missing coding state",IF(AND(D12&lt;&gt;"Unallocated",C12=""),"Missing code",IF(AND(D12&lt;&gt;"Unallocated",F12=""),"Missing code evidence",IF(NOT(ISNUMBER(E12)),"Missing allocation share",IF(OR(E12&lt;0,E12&gt;1),"Invalid allocation share",IF(ABS(SUMIF($B$7:$B$106,B12,$E$7:$E$106)-1)&gt;0.000000001,"Line shares must total 1","")))))))))</x:f>
      </x:c>
    </x:row>
    <x:row r="13" ht="26" customHeight="1">
      <x:c r="A13" s="16"/>
      <x:c r="B13" s="16"/>
      <x:c r="C13" s="16"/>
      <x:c r="D13" s="16"/>
      <x:c r="E13" s="11"/>
      <x:c r="F13" s="7"/>
      <x:c r="G13" s="15" t="str">
        <x:f>IF(OR(B13="",COUNTIF('Takeoff'!$A$7:$A$106,B13)&lt;&gt;1),"",IF(NOT(ISNUMBER(INDEX('Takeoff'!$O$7:$O$106,MATCH(B13,'Takeoff'!$A$7:$A$106,0)))),"",INDEX('Takeoff'!$O$7:$O$106,MATCH(B13,'Takeoff'!$A$7:$A$106,0))))</x:f>
      </x:c>
      <x:c r="H13" s="15" t="str">
        <x:f>IF(OR(A13="",I13&lt;&gt;""),"",G13*E13)</x:f>
      </x:c>
      <x:c r="I13" s="14" t="str">
        <x:f>IF(A13="","",IF(COUNTIF($A$7:$A$106,A13)&lt;&gt;1,"Duplicate allocation ID",IF(NOT(ISNUMBER(G13)),"Missing valid priced line",IF(AND(D13&lt;&gt;"Confirmed",D13&lt;&gt;"Provisional",D13&lt;&gt;"Unallocated"),"Missing coding state",IF(AND(D13&lt;&gt;"Unallocated",C13=""),"Missing code",IF(AND(D13&lt;&gt;"Unallocated",F13=""),"Missing code evidence",IF(NOT(ISNUMBER(E13)),"Missing allocation share",IF(OR(E13&lt;0,E13&gt;1),"Invalid allocation share",IF(ABS(SUMIF($B$7:$B$106,B13,$E$7:$E$106)-1)&gt;0.000000001,"Line shares must total 1","")))))))))</x:f>
      </x:c>
    </x:row>
    <x:row r="14" ht="26" customHeight="1">
      <x:c r="A14" s="16"/>
      <x:c r="B14" s="16"/>
      <x:c r="C14" s="16"/>
      <x:c r="D14" s="16"/>
      <x:c r="E14" s="11"/>
      <x:c r="F14" s="7"/>
      <x:c r="G14" s="15" t="str">
        <x:f>IF(OR(B14="",COUNTIF('Takeoff'!$A$7:$A$106,B14)&lt;&gt;1),"",IF(NOT(ISNUMBER(INDEX('Takeoff'!$O$7:$O$106,MATCH(B14,'Takeoff'!$A$7:$A$106,0)))),"",INDEX('Takeoff'!$O$7:$O$106,MATCH(B14,'Takeoff'!$A$7:$A$106,0))))</x:f>
      </x:c>
      <x:c r="H14" s="15" t="str">
        <x:f>IF(OR(A14="",I14&lt;&gt;""),"",G14*E14)</x:f>
      </x:c>
      <x:c r="I14" s="14" t="str">
        <x:f>IF(A14="","",IF(COUNTIF($A$7:$A$106,A14)&lt;&gt;1,"Duplicate allocation ID",IF(NOT(ISNUMBER(G14)),"Missing valid priced line",IF(AND(D14&lt;&gt;"Confirmed",D14&lt;&gt;"Provisional",D14&lt;&gt;"Unallocated"),"Missing coding state",IF(AND(D14&lt;&gt;"Unallocated",C14=""),"Missing code",IF(AND(D14&lt;&gt;"Unallocated",F14=""),"Missing code evidence",IF(NOT(ISNUMBER(E14)),"Missing allocation share",IF(OR(E14&lt;0,E14&gt;1),"Invalid allocation share",IF(ABS(SUMIF($B$7:$B$106,B14,$E$7:$E$106)-1)&gt;0.000000001,"Line shares must total 1","")))))))))</x:f>
      </x:c>
    </x:row>
    <x:row r="15" ht="26" customHeight="1">
      <x:c r="A15" s="16"/>
      <x:c r="B15" s="16"/>
      <x:c r="C15" s="16"/>
      <x:c r="D15" s="16"/>
      <x:c r="E15" s="11"/>
      <x:c r="F15" s="7"/>
      <x:c r="G15" s="15" t="str">
        <x:f>IF(OR(B15="",COUNTIF('Takeoff'!$A$7:$A$106,B15)&lt;&gt;1),"",IF(NOT(ISNUMBER(INDEX('Takeoff'!$O$7:$O$106,MATCH(B15,'Takeoff'!$A$7:$A$106,0)))),"",INDEX('Takeoff'!$O$7:$O$106,MATCH(B15,'Takeoff'!$A$7:$A$106,0))))</x:f>
      </x:c>
      <x:c r="H15" s="15" t="str">
        <x:f>IF(OR(A15="",I15&lt;&gt;""),"",G15*E15)</x:f>
      </x:c>
      <x:c r="I15" s="14" t="str">
        <x:f>IF(A15="","",IF(COUNTIF($A$7:$A$106,A15)&lt;&gt;1,"Duplicate allocation ID",IF(NOT(ISNUMBER(G15)),"Missing valid priced line",IF(AND(D15&lt;&gt;"Confirmed",D15&lt;&gt;"Provisional",D15&lt;&gt;"Unallocated"),"Missing coding state",IF(AND(D15&lt;&gt;"Unallocated",C15=""),"Missing code",IF(AND(D15&lt;&gt;"Unallocated",F15=""),"Missing code evidence",IF(NOT(ISNUMBER(E15)),"Missing allocation share",IF(OR(E15&lt;0,E15&gt;1),"Invalid allocation share",IF(ABS(SUMIF($B$7:$B$106,B15,$E$7:$E$106)-1)&gt;0.000000001,"Line shares must total 1","")))))))))</x:f>
      </x:c>
    </x:row>
    <x:row r="16" ht="26" customHeight="1">
      <x:c r="A16" s="16"/>
      <x:c r="B16" s="16"/>
      <x:c r="C16" s="16"/>
      <x:c r="D16" s="16"/>
      <x:c r="E16" s="11"/>
      <x:c r="F16" s="7"/>
      <x:c r="G16" s="15" t="str">
        <x:f>IF(OR(B16="",COUNTIF('Takeoff'!$A$7:$A$106,B16)&lt;&gt;1),"",IF(NOT(ISNUMBER(INDEX('Takeoff'!$O$7:$O$106,MATCH(B16,'Takeoff'!$A$7:$A$106,0)))),"",INDEX('Takeoff'!$O$7:$O$106,MATCH(B16,'Takeoff'!$A$7:$A$106,0))))</x:f>
      </x:c>
      <x:c r="H16" s="15" t="str">
        <x:f>IF(OR(A16="",I16&lt;&gt;""),"",G16*E16)</x:f>
      </x:c>
      <x:c r="I16" s="14" t="str">
        <x:f>IF(A16="","",IF(COUNTIF($A$7:$A$106,A16)&lt;&gt;1,"Duplicate allocation ID",IF(NOT(ISNUMBER(G16)),"Missing valid priced line",IF(AND(D16&lt;&gt;"Confirmed",D16&lt;&gt;"Provisional",D16&lt;&gt;"Unallocated"),"Missing coding state",IF(AND(D16&lt;&gt;"Unallocated",C16=""),"Missing code",IF(AND(D16&lt;&gt;"Unallocated",F16=""),"Missing code evidence",IF(NOT(ISNUMBER(E16)),"Missing allocation share",IF(OR(E16&lt;0,E16&gt;1),"Invalid allocation share",IF(ABS(SUMIF($B$7:$B$106,B16,$E$7:$E$106)-1)&gt;0.000000001,"Line shares must total 1","")))))))))</x:f>
      </x:c>
    </x:row>
    <x:row r="17" ht="26" customHeight="1">
      <x:c r="A17" s="16"/>
      <x:c r="B17" s="16"/>
      <x:c r="C17" s="16"/>
      <x:c r="D17" s="16"/>
      <x:c r="E17" s="11"/>
      <x:c r="F17" s="7"/>
      <x:c r="G17" s="15" t="str">
        <x:f>IF(OR(B17="",COUNTIF('Takeoff'!$A$7:$A$106,B17)&lt;&gt;1),"",IF(NOT(ISNUMBER(INDEX('Takeoff'!$O$7:$O$106,MATCH(B17,'Takeoff'!$A$7:$A$106,0)))),"",INDEX('Takeoff'!$O$7:$O$106,MATCH(B17,'Takeoff'!$A$7:$A$106,0))))</x:f>
      </x:c>
      <x:c r="H17" s="15" t="str">
        <x:f>IF(OR(A17="",I17&lt;&gt;""),"",G17*E17)</x:f>
      </x:c>
      <x:c r="I17" s="14" t="str">
        <x:f>IF(A17="","",IF(COUNTIF($A$7:$A$106,A17)&lt;&gt;1,"Duplicate allocation ID",IF(NOT(ISNUMBER(G17)),"Missing valid priced line",IF(AND(D17&lt;&gt;"Confirmed",D17&lt;&gt;"Provisional",D17&lt;&gt;"Unallocated"),"Missing coding state",IF(AND(D17&lt;&gt;"Unallocated",C17=""),"Missing code",IF(AND(D17&lt;&gt;"Unallocated",F17=""),"Missing code evidence",IF(NOT(ISNUMBER(E17)),"Missing allocation share",IF(OR(E17&lt;0,E17&gt;1),"Invalid allocation share",IF(ABS(SUMIF($B$7:$B$106,B17,$E$7:$E$106)-1)&gt;0.000000001,"Line shares must total 1","")))))))))</x:f>
      </x:c>
    </x:row>
    <x:row r="18" ht="26" customHeight="1">
      <x:c r="A18" s="16"/>
      <x:c r="B18" s="16"/>
      <x:c r="C18" s="16"/>
      <x:c r="D18" s="16"/>
      <x:c r="E18" s="11"/>
      <x:c r="F18" s="7"/>
      <x:c r="G18" s="15" t="str">
        <x:f>IF(OR(B18="",COUNTIF('Takeoff'!$A$7:$A$106,B18)&lt;&gt;1),"",IF(NOT(ISNUMBER(INDEX('Takeoff'!$O$7:$O$106,MATCH(B18,'Takeoff'!$A$7:$A$106,0)))),"",INDEX('Takeoff'!$O$7:$O$106,MATCH(B18,'Takeoff'!$A$7:$A$106,0))))</x:f>
      </x:c>
      <x:c r="H18" s="15" t="str">
        <x:f>IF(OR(A18="",I18&lt;&gt;""),"",G18*E18)</x:f>
      </x:c>
      <x:c r="I18" s="14" t="str">
        <x:f>IF(A18="","",IF(COUNTIF($A$7:$A$106,A18)&lt;&gt;1,"Duplicate allocation ID",IF(NOT(ISNUMBER(G18)),"Missing valid priced line",IF(AND(D18&lt;&gt;"Confirmed",D18&lt;&gt;"Provisional",D18&lt;&gt;"Unallocated"),"Missing coding state",IF(AND(D18&lt;&gt;"Unallocated",C18=""),"Missing code",IF(AND(D18&lt;&gt;"Unallocated",F18=""),"Missing code evidence",IF(NOT(ISNUMBER(E18)),"Missing allocation share",IF(OR(E18&lt;0,E18&gt;1),"Invalid allocation share",IF(ABS(SUMIF($B$7:$B$106,B18,$E$7:$E$106)-1)&gt;0.000000001,"Line shares must total 1","")))))))))</x:f>
      </x:c>
    </x:row>
    <x:row r="19" ht="26" customHeight="1">
      <x:c r="A19" s="16"/>
      <x:c r="B19" s="16"/>
      <x:c r="C19" s="16"/>
      <x:c r="D19" s="16"/>
      <x:c r="E19" s="11"/>
      <x:c r="F19" s="7"/>
      <x:c r="G19" s="15" t="str">
        <x:f>IF(OR(B19="",COUNTIF('Takeoff'!$A$7:$A$106,B19)&lt;&gt;1),"",IF(NOT(ISNUMBER(INDEX('Takeoff'!$O$7:$O$106,MATCH(B19,'Takeoff'!$A$7:$A$106,0)))),"",INDEX('Takeoff'!$O$7:$O$106,MATCH(B19,'Takeoff'!$A$7:$A$106,0))))</x:f>
      </x:c>
      <x:c r="H19" s="15" t="str">
        <x:f>IF(OR(A19="",I19&lt;&gt;""),"",G19*E19)</x:f>
      </x:c>
      <x:c r="I19" s="14" t="str">
        <x:f>IF(A19="","",IF(COUNTIF($A$7:$A$106,A19)&lt;&gt;1,"Duplicate allocation ID",IF(NOT(ISNUMBER(G19)),"Missing valid priced line",IF(AND(D19&lt;&gt;"Confirmed",D19&lt;&gt;"Provisional",D19&lt;&gt;"Unallocated"),"Missing coding state",IF(AND(D19&lt;&gt;"Unallocated",C19=""),"Missing code",IF(AND(D19&lt;&gt;"Unallocated",F19=""),"Missing code evidence",IF(NOT(ISNUMBER(E19)),"Missing allocation share",IF(OR(E19&lt;0,E19&gt;1),"Invalid allocation share",IF(ABS(SUMIF($B$7:$B$106,B19,$E$7:$E$106)-1)&gt;0.000000001,"Line shares must total 1","")))))))))</x:f>
      </x:c>
    </x:row>
    <x:row r="20" ht="26" customHeight="1">
      <x:c r="A20" s="16"/>
      <x:c r="B20" s="16"/>
      <x:c r="C20" s="16"/>
      <x:c r="D20" s="16"/>
      <x:c r="E20" s="11"/>
      <x:c r="F20" s="7"/>
      <x:c r="G20" s="15" t="str">
        <x:f>IF(OR(B20="",COUNTIF('Takeoff'!$A$7:$A$106,B20)&lt;&gt;1),"",IF(NOT(ISNUMBER(INDEX('Takeoff'!$O$7:$O$106,MATCH(B20,'Takeoff'!$A$7:$A$106,0)))),"",INDEX('Takeoff'!$O$7:$O$106,MATCH(B20,'Takeoff'!$A$7:$A$106,0))))</x:f>
      </x:c>
      <x:c r="H20" s="15" t="str">
        <x:f>IF(OR(A20="",I20&lt;&gt;""),"",G20*E20)</x:f>
      </x:c>
      <x:c r="I20" s="14" t="str">
        <x:f>IF(A20="","",IF(COUNTIF($A$7:$A$106,A20)&lt;&gt;1,"Duplicate allocation ID",IF(NOT(ISNUMBER(G20)),"Missing valid priced line",IF(AND(D20&lt;&gt;"Confirmed",D20&lt;&gt;"Provisional",D20&lt;&gt;"Unallocated"),"Missing coding state",IF(AND(D20&lt;&gt;"Unallocated",C20=""),"Missing code",IF(AND(D20&lt;&gt;"Unallocated",F20=""),"Missing code evidence",IF(NOT(ISNUMBER(E20)),"Missing allocation share",IF(OR(E20&lt;0,E20&gt;1),"Invalid allocation share",IF(ABS(SUMIF($B$7:$B$106,B20,$E$7:$E$106)-1)&gt;0.000000001,"Line shares must total 1","")))))))))</x:f>
      </x:c>
    </x:row>
    <x:row r="21" ht="26" customHeight="1">
      <x:c r="A21" s="16"/>
      <x:c r="B21" s="16"/>
      <x:c r="C21" s="16"/>
      <x:c r="D21" s="16"/>
      <x:c r="E21" s="11"/>
      <x:c r="F21" s="7"/>
      <x:c r="G21" s="15" t="str">
        <x:f>IF(OR(B21="",COUNTIF('Takeoff'!$A$7:$A$106,B21)&lt;&gt;1),"",IF(NOT(ISNUMBER(INDEX('Takeoff'!$O$7:$O$106,MATCH(B21,'Takeoff'!$A$7:$A$106,0)))),"",INDEX('Takeoff'!$O$7:$O$106,MATCH(B21,'Takeoff'!$A$7:$A$106,0))))</x:f>
      </x:c>
      <x:c r="H21" s="15" t="str">
        <x:f>IF(OR(A21="",I21&lt;&gt;""),"",G21*E21)</x:f>
      </x:c>
      <x:c r="I21" s="14" t="str">
        <x:f>IF(A21="","",IF(COUNTIF($A$7:$A$106,A21)&lt;&gt;1,"Duplicate allocation ID",IF(NOT(ISNUMBER(G21)),"Missing valid priced line",IF(AND(D21&lt;&gt;"Confirmed",D21&lt;&gt;"Provisional",D21&lt;&gt;"Unallocated"),"Missing coding state",IF(AND(D21&lt;&gt;"Unallocated",C21=""),"Missing code",IF(AND(D21&lt;&gt;"Unallocated",F21=""),"Missing code evidence",IF(NOT(ISNUMBER(E21)),"Missing allocation share",IF(OR(E21&lt;0,E21&gt;1),"Invalid allocation share",IF(ABS(SUMIF($B$7:$B$106,B21,$E$7:$E$106)-1)&gt;0.000000001,"Line shares must total 1","")))))))))</x:f>
      </x:c>
    </x:row>
    <x:row r="22" ht="26" customHeight="1">
      <x:c r="A22" s="16"/>
      <x:c r="B22" s="16"/>
      <x:c r="C22" s="16"/>
      <x:c r="D22" s="16"/>
      <x:c r="E22" s="11"/>
      <x:c r="F22" s="7"/>
      <x:c r="G22" s="15" t="str">
        <x:f>IF(OR(B22="",COUNTIF('Takeoff'!$A$7:$A$106,B22)&lt;&gt;1),"",IF(NOT(ISNUMBER(INDEX('Takeoff'!$O$7:$O$106,MATCH(B22,'Takeoff'!$A$7:$A$106,0)))),"",INDEX('Takeoff'!$O$7:$O$106,MATCH(B22,'Takeoff'!$A$7:$A$106,0))))</x:f>
      </x:c>
      <x:c r="H22" s="15" t="str">
        <x:f>IF(OR(A22="",I22&lt;&gt;""),"",G22*E22)</x:f>
      </x:c>
      <x:c r="I22" s="14" t="str">
        <x:f>IF(A22="","",IF(COUNTIF($A$7:$A$106,A22)&lt;&gt;1,"Duplicate allocation ID",IF(NOT(ISNUMBER(G22)),"Missing valid priced line",IF(AND(D22&lt;&gt;"Confirmed",D22&lt;&gt;"Provisional",D22&lt;&gt;"Unallocated"),"Missing coding state",IF(AND(D22&lt;&gt;"Unallocated",C22=""),"Missing code",IF(AND(D22&lt;&gt;"Unallocated",F22=""),"Missing code evidence",IF(NOT(ISNUMBER(E22)),"Missing allocation share",IF(OR(E22&lt;0,E22&gt;1),"Invalid allocation share",IF(ABS(SUMIF($B$7:$B$106,B22,$E$7:$E$106)-1)&gt;0.000000001,"Line shares must total 1","")))))))))</x:f>
      </x:c>
    </x:row>
    <x:row r="23" ht="26" customHeight="1">
      <x:c r="A23" s="16"/>
      <x:c r="B23" s="16"/>
      <x:c r="C23" s="16"/>
      <x:c r="D23" s="16"/>
      <x:c r="E23" s="11"/>
      <x:c r="F23" s="7"/>
      <x:c r="G23" s="15" t="str">
        <x:f>IF(OR(B23="",COUNTIF('Takeoff'!$A$7:$A$106,B23)&lt;&gt;1),"",IF(NOT(ISNUMBER(INDEX('Takeoff'!$O$7:$O$106,MATCH(B23,'Takeoff'!$A$7:$A$106,0)))),"",INDEX('Takeoff'!$O$7:$O$106,MATCH(B23,'Takeoff'!$A$7:$A$106,0))))</x:f>
      </x:c>
      <x:c r="H23" s="15" t="str">
        <x:f>IF(OR(A23="",I23&lt;&gt;""),"",G23*E23)</x:f>
      </x:c>
      <x:c r="I23" s="14" t="str">
        <x:f>IF(A23="","",IF(COUNTIF($A$7:$A$106,A23)&lt;&gt;1,"Duplicate allocation ID",IF(NOT(ISNUMBER(G23)),"Missing valid priced line",IF(AND(D23&lt;&gt;"Confirmed",D23&lt;&gt;"Provisional",D23&lt;&gt;"Unallocated"),"Missing coding state",IF(AND(D23&lt;&gt;"Unallocated",C23=""),"Missing code",IF(AND(D23&lt;&gt;"Unallocated",F23=""),"Missing code evidence",IF(NOT(ISNUMBER(E23)),"Missing allocation share",IF(OR(E23&lt;0,E23&gt;1),"Invalid allocation share",IF(ABS(SUMIF($B$7:$B$106,B23,$E$7:$E$106)-1)&gt;0.000000001,"Line shares must total 1","")))))))))</x:f>
      </x:c>
    </x:row>
    <x:row r="24" ht="26" customHeight="1">
      <x:c r="A24" s="16"/>
      <x:c r="B24" s="16"/>
      <x:c r="C24" s="16"/>
      <x:c r="D24" s="16"/>
      <x:c r="E24" s="11"/>
      <x:c r="F24" s="7"/>
      <x:c r="G24" s="15" t="str">
        <x:f>IF(OR(B24="",COUNTIF('Takeoff'!$A$7:$A$106,B24)&lt;&gt;1),"",IF(NOT(ISNUMBER(INDEX('Takeoff'!$O$7:$O$106,MATCH(B24,'Takeoff'!$A$7:$A$106,0)))),"",INDEX('Takeoff'!$O$7:$O$106,MATCH(B24,'Takeoff'!$A$7:$A$106,0))))</x:f>
      </x:c>
      <x:c r="H24" s="15" t="str">
        <x:f>IF(OR(A24="",I24&lt;&gt;""),"",G24*E24)</x:f>
      </x:c>
      <x:c r="I24" s="14" t="str">
        <x:f>IF(A24="","",IF(COUNTIF($A$7:$A$106,A24)&lt;&gt;1,"Duplicate allocation ID",IF(NOT(ISNUMBER(G24)),"Missing valid priced line",IF(AND(D24&lt;&gt;"Confirmed",D24&lt;&gt;"Provisional",D24&lt;&gt;"Unallocated"),"Missing coding state",IF(AND(D24&lt;&gt;"Unallocated",C24=""),"Missing code",IF(AND(D24&lt;&gt;"Unallocated",F24=""),"Missing code evidence",IF(NOT(ISNUMBER(E24)),"Missing allocation share",IF(OR(E24&lt;0,E24&gt;1),"Invalid allocation share",IF(ABS(SUMIF($B$7:$B$106,B24,$E$7:$E$106)-1)&gt;0.000000001,"Line shares must total 1","")))))))))</x:f>
      </x:c>
    </x:row>
    <x:row r="25" ht="26" customHeight="1">
      <x:c r="A25" s="16"/>
      <x:c r="B25" s="16"/>
      <x:c r="C25" s="16"/>
      <x:c r="D25" s="16"/>
      <x:c r="E25" s="11"/>
      <x:c r="F25" s="7"/>
      <x:c r="G25" s="15" t="str">
        <x:f>IF(OR(B25="",COUNTIF('Takeoff'!$A$7:$A$106,B25)&lt;&gt;1),"",IF(NOT(ISNUMBER(INDEX('Takeoff'!$O$7:$O$106,MATCH(B25,'Takeoff'!$A$7:$A$106,0)))),"",INDEX('Takeoff'!$O$7:$O$106,MATCH(B25,'Takeoff'!$A$7:$A$106,0))))</x:f>
      </x:c>
      <x:c r="H25" s="15" t="str">
        <x:f>IF(OR(A25="",I25&lt;&gt;""),"",G25*E25)</x:f>
      </x:c>
      <x:c r="I25" s="14" t="str">
        <x:f>IF(A25="","",IF(COUNTIF($A$7:$A$106,A25)&lt;&gt;1,"Duplicate allocation ID",IF(NOT(ISNUMBER(G25)),"Missing valid priced line",IF(AND(D25&lt;&gt;"Confirmed",D25&lt;&gt;"Provisional",D25&lt;&gt;"Unallocated"),"Missing coding state",IF(AND(D25&lt;&gt;"Unallocated",C25=""),"Missing code",IF(AND(D25&lt;&gt;"Unallocated",F25=""),"Missing code evidence",IF(NOT(ISNUMBER(E25)),"Missing allocation share",IF(OR(E25&lt;0,E25&gt;1),"Invalid allocation share",IF(ABS(SUMIF($B$7:$B$106,B25,$E$7:$E$106)-1)&gt;0.000000001,"Line shares must total 1","")))))))))</x:f>
      </x:c>
    </x:row>
    <x:row r="26" ht="26" customHeight="1">
      <x:c r="A26" s="16"/>
      <x:c r="B26" s="16"/>
      <x:c r="C26" s="16"/>
      <x:c r="D26" s="16"/>
      <x:c r="E26" s="11"/>
      <x:c r="F26" s="7"/>
      <x:c r="G26" s="15" t="str">
        <x:f>IF(OR(B26="",COUNTIF('Takeoff'!$A$7:$A$106,B26)&lt;&gt;1),"",IF(NOT(ISNUMBER(INDEX('Takeoff'!$O$7:$O$106,MATCH(B26,'Takeoff'!$A$7:$A$106,0)))),"",INDEX('Takeoff'!$O$7:$O$106,MATCH(B26,'Takeoff'!$A$7:$A$106,0))))</x:f>
      </x:c>
      <x:c r="H26" s="15" t="str">
        <x:f>IF(OR(A26="",I26&lt;&gt;""),"",G26*E26)</x:f>
      </x:c>
      <x:c r="I26" s="14" t="str">
        <x:f>IF(A26="","",IF(COUNTIF($A$7:$A$106,A26)&lt;&gt;1,"Duplicate allocation ID",IF(NOT(ISNUMBER(G26)),"Missing valid priced line",IF(AND(D26&lt;&gt;"Confirmed",D26&lt;&gt;"Provisional",D26&lt;&gt;"Unallocated"),"Missing coding state",IF(AND(D26&lt;&gt;"Unallocated",C26=""),"Missing code",IF(AND(D26&lt;&gt;"Unallocated",F26=""),"Missing code evidence",IF(NOT(ISNUMBER(E26)),"Missing allocation share",IF(OR(E26&lt;0,E26&gt;1),"Invalid allocation share",IF(ABS(SUMIF($B$7:$B$106,B26,$E$7:$E$106)-1)&gt;0.000000001,"Line shares must total 1","")))))))))</x:f>
      </x:c>
    </x:row>
    <x:row r="27" ht="26" customHeight="1">
      <x:c r="A27" s="16"/>
      <x:c r="B27" s="16"/>
      <x:c r="C27" s="16"/>
      <x:c r="D27" s="16"/>
      <x:c r="E27" s="11"/>
      <x:c r="F27" s="7"/>
      <x:c r="G27" s="15" t="str">
        <x:f>IF(OR(B27="",COUNTIF('Takeoff'!$A$7:$A$106,B27)&lt;&gt;1),"",IF(NOT(ISNUMBER(INDEX('Takeoff'!$O$7:$O$106,MATCH(B27,'Takeoff'!$A$7:$A$106,0)))),"",INDEX('Takeoff'!$O$7:$O$106,MATCH(B27,'Takeoff'!$A$7:$A$106,0))))</x:f>
      </x:c>
      <x:c r="H27" s="15" t="str">
        <x:f>IF(OR(A27="",I27&lt;&gt;""),"",G27*E27)</x:f>
      </x:c>
      <x:c r="I27" s="14" t="str">
        <x:f>IF(A27="","",IF(COUNTIF($A$7:$A$106,A27)&lt;&gt;1,"Duplicate allocation ID",IF(NOT(ISNUMBER(G27)),"Missing valid priced line",IF(AND(D27&lt;&gt;"Confirmed",D27&lt;&gt;"Provisional",D27&lt;&gt;"Unallocated"),"Missing coding state",IF(AND(D27&lt;&gt;"Unallocated",C27=""),"Missing code",IF(AND(D27&lt;&gt;"Unallocated",F27=""),"Missing code evidence",IF(NOT(ISNUMBER(E27)),"Missing allocation share",IF(OR(E27&lt;0,E27&gt;1),"Invalid allocation share",IF(ABS(SUMIF($B$7:$B$106,B27,$E$7:$E$106)-1)&gt;0.000000001,"Line shares must total 1","")))))))))</x:f>
      </x:c>
    </x:row>
    <x:row r="28" ht="26" customHeight="1">
      <x:c r="A28" s="16"/>
      <x:c r="B28" s="16"/>
      <x:c r="C28" s="16"/>
      <x:c r="D28" s="16"/>
      <x:c r="E28" s="11"/>
      <x:c r="F28" s="7"/>
      <x:c r="G28" s="15" t="str">
        <x:f>IF(OR(B28="",COUNTIF('Takeoff'!$A$7:$A$106,B28)&lt;&gt;1),"",IF(NOT(ISNUMBER(INDEX('Takeoff'!$O$7:$O$106,MATCH(B28,'Takeoff'!$A$7:$A$106,0)))),"",INDEX('Takeoff'!$O$7:$O$106,MATCH(B28,'Takeoff'!$A$7:$A$106,0))))</x:f>
      </x:c>
      <x:c r="H28" s="15" t="str">
        <x:f>IF(OR(A28="",I28&lt;&gt;""),"",G28*E28)</x:f>
      </x:c>
      <x:c r="I28" s="14" t="str">
        <x:f>IF(A28="","",IF(COUNTIF($A$7:$A$106,A28)&lt;&gt;1,"Duplicate allocation ID",IF(NOT(ISNUMBER(G28)),"Missing valid priced line",IF(AND(D28&lt;&gt;"Confirmed",D28&lt;&gt;"Provisional",D28&lt;&gt;"Unallocated"),"Missing coding state",IF(AND(D28&lt;&gt;"Unallocated",C28=""),"Missing code",IF(AND(D28&lt;&gt;"Unallocated",F28=""),"Missing code evidence",IF(NOT(ISNUMBER(E28)),"Missing allocation share",IF(OR(E28&lt;0,E28&gt;1),"Invalid allocation share",IF(ABS(SUMIF($B$7:$B$106,B28,$E$7:$E$106)-1)&gt;0.000000001,"Line shares must total 1","")))))))))</x:f>
      </x:c>
    </x:row>
    <x:row r="29" ht="26" customHeight="1">
      <x:c r="A29" s="16"/>
      <x:c r="B29" s="16"/>
      <x:c r="C29" s="16"/>
      <x:c r="D29" s="16"/>
      <x:c r="E29" s="11"/>
      <x:c r="F29" s="7"/>
      <x:c r="G29" s="15" t="str">
        <x:f>IF(OR(B29="",COUNTIF('Takeoff'!$A$7:$A$106,B29)&lt;&gt;1),"",IF(NOT(ISNUMBER(INDEX('Takeoff'!$O$7:$O$106,MATCH(B29,'Takeoff'!$A$7:$A$106,0)))),"",INDEX('Takeoff'!$O$7:$O$106,MATCH(B29,'Takeoff'!$A$7:$A$106,0))))</x:f>
      </x:c>
      <x:c r="H29" s="15" t="str">
        <x:f>IF(OR(A29="",I29&lt;&gt;""),"",G29*E29)</x:f>
      </x:c>
      <x:c r="I29" s="14" t="str">
        <x:f>IF(A29="","",IF(COUNTIF($A$7:$A$106,A29)&lt;&gt;1,"Duplicate allocation ID",IF(NOT(ISNUMBER(G29)),"Missing valid priced line",IF(AND(D29&lt;&gt;"Confirmed",D29&lt;&gt;"Provisional",D29&lt;&gt;"Unallocated"),"Missing coding state",IF(AND(D29&lt;&gt;"Unallocated",C29=""),"Missing code",IF(AND(D29&lt;&gt;"Unallocated",F29=""),"Missing code evidence",IF(NOT(ISNUMBER(E29)),"Missing allocation share",IF(OR(E29&lt;0,E29&gt;1),"Invalid allocation share",IF(ABS(SUMIF($B$7:$B$106,B29,$E$7:$E$106)-1)&gt;0.000000001,"Line shares must total 1","")))))))))</x:f>
      </x:c>
    </x:row>
    <x:row r="30" ht="26" customHeight="1">
      <x:c r="A30" s="16"/>
      <x:c r="B30" s="16"/>
      <x:c r="C30" s="16"/>
      <x:c r="D30" s="16"/>
      <x:c r="E30" s="11"/>
      <x:c r="F30" s="7"/>
      <x:c r="G30" s="15" t="str">
        <x:f>IF(OR(B30="",COUNTIF('Takeoff'!$A$7:$A$106,B30)&lt;&gt;1),"",IF(NOT(ISNUMBER(INDEX('Takeoff'!$O$7:$O$106,MATCH(B30,'Takeoff'!$A$7:$A$106,0)))),"",INDEX('Takeoff'!$O$7:$O$106,MATCH(B30,'Takeoff'!$A$7:$A$106,0))))</x:f>
      </x:c>
      <x:c r="H30" s="15" t="str">
        <x:f>IF(OR(A30="",I30&lt;&gt;""),"",G30*E30)</x:f>
      </x:c>
      <x:c r="I30" s="14" t="str">
        <x:f>IF(A30="","",IF(COUNTIF($A$7:$A$106,A30)&lt;&gt;1,"Duplicate allocation ID",IF(NOT(ISNUMBER(G30)),"Missing valid priced line",IF(AND(D30&lt;&gt;"Confirmed",D30&lt;&gt;"Provisional",D30&lt;&gt;"Unallocated"),"Missing coding state",IF(AND(D30&lt;&gt;"Unallocated",C30=""),"Missing code",IF(AND(D30&lt;&gt;"Unallocated",F30=""),"Missing code evidence",IF(NOT(ISNUMBER(E30)),"Missing allocation share",IF(OR(E30&lt;0,E30&gt;1),"Invalid allocation share",IF(ABS(SUMIF($B$7:$B$106,B30,$E$7:$E$106)-1)&gt;0.000000001,"Line shares must total 1","")))))))))</x:f>
      </x:c>
    </x:row>
    <x:row r="31" ht="26" customHeight="1">
      <x:c r="A31" s="16"/>
      <x:c r="B31" s="16"/>
      <x:c r="C31" s="16"/>
      <x:c r="D31" s="16"/>
      <x:c r="E31" s="11"/>
      <x:c r="F31" s="7"/>
      <x:c r="G31" s="15" t="str">
        <x:f>IF(OR(B31="",COUNTIF('Takeoff'!$A$7:$A$106,B31)&lt;&gt;1),"",IF(NOT(ISNUMBER(INDEX('Takeoff'!$O$7:$O$106,MATCH(B31,'Takeoff'!$A$7:$A$106,0)))),"",INDEX('Takeoff'!$O$7:$O$106,MATCH(B31,'Takeoff'!$A$7:$A$106,0))))</x:f>
      </x:c>
      <x:c r="H31" s="15" t="str">
        <x:f>IF(OR(A31="",I31&lt;&gt;""),"",G31*E31)</x:f>
      </x:c>
      <x:c r="I31" s="14" t="str">
        <x:f>IF(A31="","",IF(COUNTIF($A$7:$A$106,A31)&lt;&gt;1,"Duplicate allocation ID",IF(NOT(ISNUMBER(G31)),"Missing valid priced line",IF(AND(D31&lt;&gt;"Confirmed",D31&lt;&gt;"Provisional",D31&lt;&gt;"Unallocated"),"Missing coding state",IF(AND(D31&lt;&gt;"Unallocated",C31=""),"Missing code",IF(AND(D31&lt;&gt;"Unallocated",F31=""),"Missing code evidence",IF(NOT(ISNUMBER(E31)),"Missing allocation share",IF(OR(E31&lt;0,E31&gt;1),"Invalid allocation share",IF(ABS(SUMIF($B$7:$B$106,B31,$E$7:$E$106)-1)&gt;0.000000001,"Line shares must total 1","")))))))))</x:f>
      </x:c>
    </x:row>
    <x:row r="32" ht="26" customHeight="1">
      <x:c r="A32" s="16"/>
      <x:c r="B32" s="16"/>
      <x:c r="C32" s="16"/>
      <x:c r="D32" s="16"/>
      <x:c r="E32" s="11"/>
      <x:c r="F32" s="7"/>
      <x:c r="G32" s="15" t="str">
        <x:f>IF(OR(B32="",COUNTIF('Takeoff'!$A$7:$A$106,B32)&lt;&gt;1),"",IF(NOT(ISNUMBER(INDEX('Takeoff'!$O$7:$O$106,MATCH(B32,'Takeoff'!$A$7:$A$106,0)))),"",INDEX('Takeoff'!$O$7:$O$106,MATCH(B32,'Takeoff'!$A$7:$A$106,0))))</x:f>
      </x:c>
      <x:c r="H32" s="15" t="str">
        <x:f>IF(OR(A32="",I32&lt;&gt;""),"",G32*E32)</x:f>
      </x:c>
      <x:c r="I32" s="14" t="str">
        <x:f>IF(A32="","",IF(COUNTIF($A$7:$A$106,A32)&lt;&gt;1,"Duplicate allocation ID",IF(NOT(ISNUMBER(G32)),"Missing valid priced line",IF(AND(D32&lt;&gt;"Confirmed",D32&lt;&gt;"Provisional",D32&lt;&gt;"Unallocated"),"Missing coding state",IF(AND(D32&lt;&gt;"Unallocated",C32=""),"Missing code",IF(AND(D32&lt;&gt;"Unallocated",F32=""),"Missing code evidence",IF(NOT(ISNUMBER(E32)),"Missing allocation share",IF(OR(E32&lt;0,E32&gt;1),"Invalid allocation share",IF(ABS(SUMIF($B$7:$B$106,B32,$E$7:$E$106)-1)&gt;0.000000001,"Line shares must total 1","")))))))))</x:f>
      </x:c>
    </x:row>
    <x:row r="33" ht="26" customHeight="1">
      <x:c r="A33" s="16"/>
      <x:c r="B33" s="16"/>
      <x:c r="C33" s="16"/>
      <x:c r="D33" s="16"/>
      <x:c r="E33" s="11"/>
      <x:c r="F33" s="7"/>
      <x:c r="G33" s="15" t="str">
        <x:f>IF(OR(B33="",COUNTIF('Takeoff'!$A$7:$A$106,B33)&lt;&gt;1),"",IF(NOT(ISNUMBER(INDEX('Takeoff'!$O$7:$O$106,MATCH(B33,'Takeoff'!$A$7:$A$106,0)))),"",INDEX('Takeoff'!$O$7:$O$106,MATCH(B33,'Takeoff'!$A$7:$A$106,0))))</x:f>
      </x:c>
      <x:c r="H33" s="15" t="str">
        <x:f>IF(OR(A33="",I33&lt;&gt;""),"",G33*E33)</x:f>
      </x:c>
      <x:c r="I33" s="14" t="str">
        <x:f>IF(A33="","",IF(COUNTIF($A$7:$A$106,A33)&lt;&gt;1,"Duplicate allocation ID",IF(NOT(ISNUMBER(G33)),"Missing valid priced line",IF(AND(D33&lt;&gt;"Confirmed",D33&lt;&gt;"Provisional",D33&lt;&gt;"Unallocated"),"Missing coding state",IF(AND(D33&lt;&gt;"Unallocated",C33=""),"Missing code",IF(AND(D33&lt;&gt;"Unallocated",F33=""),"Missing code evidence",IF(NOT(ISNUMBER(E33)),"Missing allocation share",IF(OR(E33&lt;0,E33&gt;1),"Invalid allocation share",IF(ABS(SUMIF($B$7:$B$106,B33,$E$7:$E$106)-1)&gt;0.000000001,"Line shares must total 1","")))))))))</x:f>
      </x:c>
    </x:row>
    <x:row r="34" ht="26" customHeight="1">
      <x:c r="A34" s="16"/>
      <x:c r="B34" s="16"/>
      <x:c r="C34" s="16"/>
      <x:c r="D34" s="16"/>
      <x:c r="E34" s="11"/>
      <x:c r="F34" s="7"/>
      <x:c r="G34" s="15" t="str">
        <x:f>IF(OR(B34="",COUNTIF('Takeoff'!$A$7:$A$106,B34)&lt;&gt;1),"",IF(NOT(ISNUMBER(INDEX('Takeoff'!$O$7:$O$106,MATCH(B34,'Takeoff'!$A$7:$A$106,0)))),"",INDEX('Takeoff'!$O$7:$O$106,MATCH(B34,'Takeoff'!$A$7:$A$106,0))))</x:f>
      </x:c>
      <x:c r="H34" s="15" t="str">
        <x:f>IF(OR(A34="",I34&lt;&gt;""),"",G34*E34)</x:f>
      </x:c>
      <x:c r="I34" s="14" t="str">
        <x:f>IF(A34="","",IF(COUNTIF($A$7:$A$106,A34)&lt;&gt;1,"Duplicate allocation ID",IF(NOT(ISNUMBER(G34)),"Missing valid priced line",IF(AND(D34&lt;&gt;"Confirmed",D34&lt;&gt;"Provisional",D34&lt;&gt;"Unallocated"),"Missing coding state",IF(AND(D34&lt;&gt;"Unallocated",C34=""),"Missing code",IF(AND(D34&lt;&gt;"Unallocated",F34=""),"Missing code evidence",IF(NOT(ISNUMBER(E34)),"Missing allocation share",IF(OR(E34&lt;0,E34&gt;1),"Invalid allocation share",IF(ABS(SUMIF($B$7:$B$106,B34,$E$7:$E$106)-1)&gt;0.000000001,"Line shares must total 1","")))))))))</x:f>
      </x:c>
    </x:row>
    <x:row r="35" ht="26" customHeight="1">
      <x:c r="A35" s="16"/>
      <x:c r="B35" s="16"/>
      <x:c r="C35" s="16"/>
      <x:c r="D35" s="16"/>
      <x:c r="E35" s="11"/>
      <x:c r="F35" s="7"/>
      <x:c r="G35" s="15" t="str">
        <x:f>IF(OR(B35="",COUNTIF('Takeoff'!$A$7:$A$106,B35)&lt;&gt;1),"",IF(NOT(ISNUMBER(INDEX('Takeoff'!$O$7:$O$106,MATCH(B35,'Takeoff'!$A$7:$A$106,0)))),"",INDEX('Takeoff'!$O$7:$O$106,MATCH(B35,'Takeoff'!$A$7:$A$106,0))))</x:f>
      </x:c>
      <x:c r="H35" s="15" t="str">
        <x:f>IF(OR(A35="",I35&lt;&gt;""),"",G35*E35)</x:f>
      </x:c>
      <x:c r="I35" s="14" t="str">
        <x:f>IF(A35="","",IF(COUNTIF($A$7:$A$106,A35)&lt;&gt;1,"Duplicate allocation ID",IF(NOT(ISNUMBER(G35)),"Missing valid priced line",IF(AND(D35&lt;&gt;"Confirmed",D35&lt;&gt;"Provisional",D35&lt;&gt;"Unallocated"),"Missing coding state",IF(AND(D35&lt;&gt;"Unallocated",C35=""),"Missing code",IF(AND(D35&lt;&gt;"Unallocated",F35=""),"Missing code evidence",IF(NOT(ISNUMBER(E35)),"Missing allocation share",IF(OR(E35&lt;0,E35&gt;1),"Invalid allocation share",IF(ABS(SUMIF($B$7:$B$106,B35,$E$7:$E$106)-1)&gt;0.000000001,"Line shares must total 1","")))))))))</x:f>
      </x:c>
    </x:row>
    <x:row r="36" ht="26" customHeight="1">
      <x:c r="A36" s="16"/>
      <x:c r="B36" s="16"/>
      <x:c r="C36" s="16"/>
      <x:c r="D36" s="16"/>
      <x:c r="E36" s="11"/>
      <x:c r="F36" s="7"/>
      <x:c r="G36" s="15" t="str">
        <x:f>IF(OR(B36="",COUNTIF('Takeoff'!$A$7:$A$106,B36)&lt;&gt;1),"",IF(NOT(ISNUMBER(INDEX('Takeoff'!$O$7:$O$106,MATCH(B36,'Takeoff'!$A$7:$A$106,0)))),"",INDEX('Takeoff'!$O$7:$O$106,MATCH(B36,'Takeoff'!$A$7:$A$106,0))))</x:f>
      </x:c>
      <x:c r="H36" s="15" t="str">
        <x:f>IF(OR(A36="",I36&lt;&gt;""),"",G36*E36)</x:f>
      </x:c>
      <x:c r="I36" s="14" t="str">
        <x:f>IF(A36="","",IF(COUNTIF($A$7:$A$106,A36)&lt;&gt;1,"Duplicate allocation ID",IF(NOT(ISNUMBER(G36)),"Missing valid priced line",IF(AND(D36&lt;&gt;"Confirmed",D36&lt;&gt;"Provisional",D36&lt;&gt;"Unallocated"),"Missing coding state",IF(AND(D36&lt;&gt;"Unallocated",C36=""),"Missing code",IF(AND(D36&lt;&gt;"Unallocated",F36=""),"Missing code evidence",IF(NOT(ISNUMBER(E36)),"Missing allocation share",IF(OR(E36&lt;0,E36&gt;1),"Invalid allocation share",IF(ABS(SUMIF($B$7:$B$106,B36,$E$7:$E$106)-1)&gt;0.000000001,"Line shares must total 1","")))))))))</x:f>
      </x:c>
    </x:row>
    <x:row r="37" ht="26" customHeight="1">
      <x:c r="A37" s="16"/>
      <x:c r="B37" s="16"/>
      <x:c r="C37" s="16"/>
      <x:c r="D37" s="16"/>
      <x:c r="E37" s="11"/>
      <x:c r="F37" s="7"/>
      <x:c r="G37" s="15" t="str">
        <x:f>IF(OR(B37="",COUNTIF('Takeoff'!$A$7:$A$106,B37)&lt;&gt;1),"",IF(NOT(ISNUMBER(INDEX('Takeoff'!$O$7:$O$106,MATCH(B37,'Takeoff'!$A$7:$A$106,0)))),"",INDEX('Takeoff'!$O$7:$O$106,MATCH(B37,'Takeoff'!$A$7:$A$106,0))))</x:f>
      </x:c>
      <x:c r="H37" s="15" t="str">
        <x:f>IF(OR(A37="",I37&lt;&gt;""),"",G37*E37)</x:f>
      </x:c>
      <x:c r="I37" s="14" t="str">
        <x:f>IF(A37="","",IF(COUNTIF($A$7:$A$106,A37)&lt;&gt;1,"Duplicate allocation ID",IF(NOT(ISNUMBER(G37)),"Missing valid priced line",IF(AND(D37&lt;&gt;"Confirmed",D37&lt;&gt;"Provisional",D37&lt;&gt;"Unallocated"),"Missing coding state",IF(AND(D37&lt;&gt;"Unallocated",C37=""),"Missing code",IF(AND(D37&lt;&gt;"Unallocated",F37=""),"Missing code evidence",IF(NOT(ISNUMBER(E37)),"Missing allocation share",IF(OR(E37&lt;0,E37&gt;1),"Invalid allocation share",IF(ABS(SUMIF($B$7:$B$106,B37,$E$7:$E$106)-1)&gt;0.000000001,"Line shares must total 1","")))))))))</x:f>
      </x:c>
    </x:row>
    <x:row r="38" ht="26" customHeight="1">
      <x:c r="A38" s="16"/>
      <x:c r="B38" s="16"/>
      <x:c r="C38" s="16"/>
      <x:c r="D38" s="16"/>
      <x:c r="E38" s="11"/>
      <x:c r="F38" s="7"/>
      <x:c r="G38" s="15" t="str">
        <x:f>IF(OR(B38="",COUNTIF('Takeoff'!$A$7:$A$106,B38)&lt;&gt;1),"",IF(NOT(ISNUMBER(INDEX('Takeoff'!$O$7:$O$106,MATCH(B38,'Takeoff'!$A$7:$A$106,0)))),"",INDEX('Takeoff'!$O$7:$O$106,MATCH(B38,'Takeoff'!$A$7:$A$106,0))))</x:f>
      </x:c>
      <x:c r="H38" s="15" t="str">
        <x:f>IF(OR(A38="",I38&lt;&gt;""),"",G38*E38)</x:f>
      </x:c>
      <x:c r="I38" s="14" t="str">
        <x:f>IF(A38="","",IF(COUNTIF($A$7:$A$106,A38)&lt;&gt;1,"Duplicate allocation ID",IF(NOT(ISNUMBER(G38)),"Missing valid priced line",IF(AND(D38&lt;&gt;"Confirmed",D38&lt;&gt;"Provisional",D38&lt;&gt;"Unallocated"),"Missing coding state",IF(AND(D38&lt;&gt;"Unallocated",C38=""),"Missing code",IF(AND(D38&lt;&gt;"Unallocated",F38=""),"Missing code evidence",IF(NOT(ISNUMBER(E38)),"Missing allocation share",IF(OR(E38&lt;0,E38&gt;1),"Invalid allocation share",IF(ABS(SUMIF($B$7:$B$106,B38,$E$7:$E$106)-1)&gt;0.000000001,"Line shares must total 1","")))))))))</x:f>
      </x:c>
    </x:row>
    <x:row r="39" ht="26" customHeight="1">
      <x:c r="A39" s="16"/>
      <x:c r="B39" s="16"/>
      <x:c r="C39" s="16"/>
      <x:c r="D39" s="16"/>
      <x:c r="E39" s="11"/>
      <x:c r="F39" s="7"/>
      <x:c r="G39" s="15" t="str">
        <x:f>IF(OR(B39="",COUNTIF('Takeoff'!$A$7:$A$106,B39)&lt;&gt;1),"",IF(NOT(ISNUMBER(INDEX('Takeoff'!$O$7:$O$106,MATCH(B39,'Takeoff'!$A$7:$A$106,0)))),"",INDEX('Takeoff'!$O$7:$O$106,MATCH(B39,'Takeoff'!$A$7:$A$106,0))))</x:f>
      </x:c>
      <x:c r="H39" s="15" t="str">
        <x:f>IF(OR(A39="",I39&lt;&gt;""),"",G39*E39)</x:f>
      </x:c>
      <x:c r="I39" s="14" t="str">
        <x:f>IF(A39="","",IF(COUNTIF($A$7:$A$106,A39)&lt;&gt;1,"Duplicate allocation ID",IF(NOT(ISNUMBER(G39)),"Missing valid priced line",IF(AND(D39&lt;&gt;"Confirmed",D39&lt;&gt;"Provisional",D39&lt;&gt;"Unallocated"),"Missing coding state",IF(AND(D39&lt;&gt;"Unallocated",C39=""),"Missing code",IF(AND(D39&lt;&gt;"Unallocated",F39=""),"Missing code evidence",IF(NOT(ISNUMBER(E39)),"Missing allocation share",IF(OR(E39&lt;0,E39&gt;1),"Invalid allocation share",IF(ABS(SUMIF($B$7:$B$106,B39,$E$7:$E$106)-1)&gt;0.000000001,"Line shares must total 1","")))))))))</x:f>
      </x:c>
    </x:row>
    <x:row r="40" ht="26" customHeight="1">
      <x:c r="A40" s="16"/>
      <x:c r="B40" s="16"/>
      <x:c r="C40" s="16"/>
      <x:c r="D40" s="16"/>
      <x:c r="E40" s="11"/>
      <x:c r="F40" s="7"/>
      <x:c r="G40" s="15" t="str">
        <x:f>IF(OR(B40="",COUNTIF('Takeoff'!$A$7:$A$106,B40)&lt;&gt;1),"",IF(NOT(ISNUMBER(INDEX('Takeoff'!$O$7:$O$106,MATCH(B40,'Takeoff'!$A$7:$A$106,0)))),"",INDEX('Takeoff'!$O$7:$O$106,MATCH(B40,'Takeoff'!$A$7:$A$106,0))))</x:f>
      </x:c>
      <x:c r="H40" s="15" t="str">
        <x:f>IF(OR(A40="",I40&lt;&gt;""),"",G40*E40)</x:f>
      </x:c>
      <x:c r="I40" s="14" t="str">
        <x:f>IF(A40="","",IF(COUNTIF($A$7:$A$106,A40)&lt;&gt;1,"Duplicate allocation ID",IF(NOT(ISNUMBER(G40)),"Missing valid priced line",IF(AND(D40&lt;&gt;"Confirmed",D40&lt;&gt;"Provisional",D40&lt;&gt;"Unallocated"),"Missing coding state",IF(AND(D40&lt;&gt;"Unallocated",C40=""),"Missing code",IF(AND(D40&lt;&gt;"Unallocated",F40=""),"Missing code evidence",IF(NOT(ISNUMBER(E40)),"Missing allocation share",IF(OR(E40&lt;0,E40&gt;1),"Invalid allocation share",IF(ABS(SUMIF($B$7:$B$106,B40,$E$7:$E$106)-1)&gt;0.000000001,"Line shares must total 1","")))))))))</x:f>
      </x:c>
    </x:row>
    <x:row r="41" ht="26" customHeight="1">
      <x:c r="A41" s="16"/>
      <x:c r="B41" s="16"/>
      <x:c r="C41" s="16"/>
      <x:c r="D41" s="16"/>
      <x:c r="E41" s="11"/>
      <x:c r="F41" s="7"/>
      <x:c r="G41" s="15" t="str">
        <x:f>IF(OR(B41="",COUNTIF('Takeoff'!$A$7:$A$106,B41)&lt;&gt;1),"",IF(NOT(ISNUMBER(INDEX('Takeoff'!$O$7:$O$106,MATCH(B41,'Takeoff'!$A$7:$A$106,0)))),"",INDEX('Takeoff'!$O$7:$O$106,MATCH(B41,'Takeoff'!$A$7:$A$106,0))))</x:f>
      </x:c>
      <x:c r="H41" s="15" t="str">
        <x:f>IF(OR(A41="",I41&lt;&gt;""),"",G41*E41)</x:f>
      </x:c>
      <x:c r="I41" s="14" t="str">
        <x:f>IF(A41="","",IF(COUNTIF($A$7:$A$106,A41)&lt;&gt;1,"Duplicate allocation ID",IF(NOT(ISNUMBER(G41)),"Missing valid priced line",IF(AND(D41&lt;&gt;"Confirmed",D41&lt;&gt;"Provisional",D41&lt;&gt;"Unallocated"),"Missing coding state",IF(AND(D41&lt;&gt;"Unallocated",C41=""),"Missing code",IF(AND(D41&lt;&gt;"Unallocated",F41=""),"Missing code evidence",IF(NOT(ISNUMBER(E41)),"Missing allocation share",IF(OR(E41&lt;0,E41&gt;1),"Invalid allocation share",IF(ABS(SUMIF($B$7:$B$106,B41,$E$7:$E$106)-1)&gt;0.000000001,"Line shares must total 1","")))))))))</x:f>
      </x:c>
    </x:row>
    <x:row r="42" ht="26" customHeight="1">
      <x:c r="A42" s="16"/>
      <x:c r="B42" s="16"/>
      <x:c r="C42" s="16"/>
      <x:c r="D42" s="16"/>
      <x:c r="E42" s="11"/>
      <x:c r="F42" s="7"/>
      <x:c r="G42" s="15" t="str">
        <x:f>IF(OR(B42="",COUNTIF('Takeoff'!$A$7:$A$106,B42)&lt;&gt;1),"",IF(NOT(ISNUMBER(INDEX('Takeoff'!$O$7:$O$106,MATCH(B42,'Takeoff'!$A$7:$A$106,0)))),"",INDEX('Takeoff'!$O$7:$O$106,MATCH(B42,'Takeoff'!$A$7:$A$106,0))))</x:f>
      </x:c>
      <x:c r="H42" s="15" t="str">
        <x:f>IF(OR(A42="",I42&lt;&gt;""),"",G42*E42)</x:f>
      </x:c>
      <x:c r="I42" s="14" t="str">
        <x:f>IF(A42="","",IF(COUNTIF($A$7:$A$106,A42)&lt;&gt;1,"Duplicate allocation ID",IF(NOT(ISNUMBER(G42)),"Missing valid priced line",IF(AND(D42&lt;&gt;"Confirmed",D42&lt;&gt;"Provisional",D42&lt;&gt;"Unallocated"),"Missing coding state",IF(AND(D42&lt;&gt;"Unallocated",C42=""),"Missing code",IF(AND(D42&lt;&gt;"Unallocated",F42=""),"Missing code evidence",IF(NOT(ISNUMBER(E42)),"Missing allocation share",IF(OR(E42&lt;0,E42&gt;1),"Invalid allocation share",IF(ABS(SUMIF($B$7:$B$106,B42,$E$7:$E$106)-1)&gt;0.000000001,"Line shares must total 1","")))))))))</x:f>
      </x:c>
    </x:row>
    <x:row r="43" ht="26" customHeight="1">
      <x:c r="A43" s="16"/>
      <x:c r="B43" s="16"/>
      <x:c r="C43" s="16"/>
      <x:c r="D43" s="16"/>
      <x:c r="E43" s="11"/>
      <x:c r="F43" s="7"/>
      <x:c r="G43" s="15" t="str">
        <x:f>IF(OR(B43="",COUNTIF('Takeoff'!$A$7:$A$106,B43)&lt;&gt;1),"",IF(NOT(ISNUMBER(INDEX('Takeoff'!$O$7:$O$106,MATCH(B43,'Takeoff'!$A$7:$A$106,0)))),"",INDEX('Takeoff'!$O$7:$O$106,MATCH(B43,'Takeoff'!$A$7:$A$106,0))))</x:f>
      </x:c>
      <x:c r="H43" s="15" t="str">
        <x:f>IF(OR(A43="",I43&lt;&gt;""),"",G43*E43)</x:f>
      </x:c>
      <x:c r="I43" s="14" t="str">
        <x:f>IF(A43="","",IF(COUNTIF($A$7:$A$106,A43)&lt;&gt;1,"Duplicate allocation ID",IF(NOT(ISNUMBER(G43)),"Missing valid priced line",IF(AND(D43&lt;&gt;"Confirmed",D43&lt;&gt;"Provisional",D43&lt;&gt;"Unallocated"),"Missing coding state",IF(AND(D43&lt;&gt;"Unallocated",C43=""),"Missing code",IF(AND(D43&lt;&gt;"Unallocated",F43=""),"Missing code evidence",IF(NOT(ISNUMBER(E43)),"Missing allocation share",IF(OR(E43&lt;0,E43&gt;1),"Invalid allocation share",IF(ABS(SUMIF($B$7:$B$106,B43,$E$7:$E$106)-1)&gt;0.000000001,"Line shares must total 1","")))))))))</x:f>
      </x:c>
    </x:row>
    <x:row r="44" ht="26" customHeight="1">
      <x:c r="A44" s="16"/>
      <x:c r="B44" s="16"/>
      <x:c r="C44" s="16"/>
      <x:c r="D44" s="16"/>
      <x:c r="E44" s="11"/>
      <x:c r="F44" s="7"/>
      <x:c r="G44" s="15" t="str">
        <x:f>IF(OR(B44="",COUNTIF('Takeoff'!$A$7:$A$106,B44)&lt;&gt;1),"",IF(NOT(ISNUMBER(INDEX('Takeoff'!$O$7:$O$106,MATCH(B44,'Takeoff'!$A$7:$A$106,0)))),"",INDEX('Takeoff'!$O$7:$O$106,MATCH(B44,'Takeoff'!$A$7:$A$106,0))))</x:f>
      </x:c>
      <x:c r="H44" s="15" t="str">
        <x:f>IF(OR(A44="",I44&lt;&gt;""),"",G44*E44)</x:f>
      </x:c>
      <x:c r="I44" s="14" t="str">
        <x:f>IF(A44="","",IF(COUNTIF($A$7:$A$106,A44)&lt;&gt;1,"Duplicate allocation ID",IF(NOT(ISNUMBER(G44)),"Missing valid priced line",IF(AND(D44&lt;&gt;"Confirmed",D44&lt;&gt;"Provisional",D44&lt;&gt;"Unallocated"),"Missing coding state",IF(AND(D44&lt;&gt;"Unallocated",C44=""),"Missing code",IF(AND(D44&lt;&gt;"Unallocated",F44=""),"Missing code evidence",IF(NOT(ISNUMBER(E44)),"Missing allocation share",IF(OR(E44&lt;0,E44&gt;1),"Invalid allocation share",IF(ABS(SUMIF($B$7:$B$106,B44,$E$7:$E$106)-1)&gt;0.000000001,"Line shares must total 1","")))))))))</x:f>
      </x:c>
    </x:row>
    <x:row r="45" ht="26" customHeight="1">
      <x:c r="A45" s="16"/>
      <x:c r="B45" s="16"/>
      <x:c r="C45" s="16"/>
      <x:c r="D45" s="16"/>
      <x:c r="E45" s="11"/>
      <x:c r="F45" s="7"/>
      <x:c r="G45" s="15" t="str">
        <x:f>IF(OR(B45="",COUNTIF('Takeoff'!$A$7:$A$106,B45)&lt;&gt;1),"",IF(NOT(ISNUMBER(INDEX('Takeoff'!$O$7:$O$106,MATCH(B45,'Takeoff'!$A$7:$A$106,0)))),"",INDEX('Takeoff'!$O$7:$O$106,MATCH(B45,'Takeoff'!$A$7:$A$106,0))))</x:f>
      </x:c>
      <x:c r="H45" s="15" t="str">
        <x:f>IF(OR(A45="",I45&lt;&gt;""),"",G45*E45)</x:f>
      </x:c>
      <x:c r="I45" s="14" t="str">
        <x:f>IF(A45="","",IF(COUNTIF($A$7:$A$106,A45)&lt;&gt;1,"Duplicate allocation ID",IF(NOT(ISNUMBER(G45)),"Missing valid priced line",IF(AND(D45&lt;&gt;"Confirmed",D45&lt;&gt;"Provisional",D45&lt;&gt;"Unallocated"),"Missing coding state",IF(AND(D45&lt;&gt;"Unallocated",C45=""),"Missing code",IF(AND(D45&lt;&gt;"Unallocated",F45=""),"Missing code evidence",IF(NOT(ISNUMBER(E45)),"Missing allocation share",IF(OR(E45&lt;0,E45&gt;1),"Invalid allocation share",IF(ABS(SUMIF($B$7:$B$106,B45,$E$7:$E$106)-1)&gt;0.000000001,"Line shares must total 1","")))))))))</x:f>
      </x:c>
    </x:row>
    <x:row r="46" ht="26" customHeight="1">
      <x:c r="A46" s="16"/>
      <x:c r="B46" s="16"/>
      <x:c r="C46" s="16"/>
      <x:c r="D46" s="16"/>
      <x:c r="E46" s="11"/>
      <x:c r="F46" s="7"/>
      <x:c r="G46" s="15" t="str">
        <x:f>IF(OR(B46="",COUNTIF('Takeoff'!$A$7:$A$106,B46)&lt;&gt;1),"",IF(NOT(ISNUMBER(INDEX('Takeoff'!$O$7:$O$106,MATCH(B46,'Takeoff'!$A$7:$A$106,0)))),"",INDEX('Takeoff'!$O$7:$O$106,MATCH(B46,'Takeoff'!$A$7:$A$106,0))))</x:f>
      </x:c>
      <x:c r="H46" s="15" t="str">
        <x:f>IF(OR(A46="",I46&lt;&gt;""),"",G46*E46)</x:f>
      </x:c>
      <x:c r="I46" s="14" t="str">
        <x:f>IF(A46="","",IF(COUNTIF($A$7:$A$106,A46)&lt;&gt;1,"Duplicate allocation ID",IF(NOT(ISNUMBER(G46)),"Missing valid priced line",IF(AND(D46&lt;&gt;"Confirmed",D46&lt;&gt;"Provisional",D46&lt;&gt;"Unallocated"),"Missing coding state",IF(AND(D46&lt;&gt;"Unallocated",C46=""),"Missing code",IF(AND(D46&lt;&gt;"Unallocated",F46=""),"Missing code evidence",IF(NOT(ISNUMBER(E46)),"Missing allocation share",IF(OR(E46&lt;0,E46&gt;1),"Invalid allocation share",IF(ABS(SUMIF($B$7:$B$106,B46,$E$7:$E$106)-1)&gt;0.000000001,"Line shares must total 1","")))))))))</x:f>
      </x:c>
    </x:row>
    <x:row r="47" ht="26" customHeight="1">
      <x:c r="A47" s="16"/>
      <x:c r="B47" s="16"/>
      <x:c r="C47" s="16"/>
      <x:c r="D47" s="16"/>
      <x:c r="E47" s="11"/>
      <x:c r="F47" s="7"/>
      <x:c r="G47" s="15" t="str">
        <x:f>IF(OR(B47="",COUNTIF('Takeoff'!$A$7:$A$106,B47)&lt;&gt;1),"",IF(NOT(ISNUMBER(INDEX('Takeoff'!$O$7:$O$106,MATCH(B47,'Takeoff'!$A$7:$A$106,0)))),"",INDEX('Takeoff'!$O$7:$O$106,MATCH(B47,'Takeoff'!$A$7:$A$106,0))))</x:f>
      </x:c>
      <x:c r="H47" s="15" t="str">
        <x:f>IF(OR(A47="",I47&lt;&gt;""),"",G47*E47)</x:f>
      </x:c>
      <x:c r="I47" s="14" t="str">
        <x:f>IF(A47="","",IF(COUNTIF($A$7:$A$106,A47)&lt;&gt;1,"Duplicate allocation ID",IF(NOT(ISNUMBER(G47)),"Missing valid priced line",IF(AND(D47&lt;&gt;"Confirmed",D47&lt;&gt;"Provisional",D47&lt;&gt;"Unallocated"),"Missing coding state",IF(AND(D47&lt;&gt;"Unallocated",C47=""),"Missing code",IF(AND(D47&lt;&gt;"Unallocated",F47=""),"Missing code evidence",IF(NOT(ISNUMBER(E47)),"Missing allocation share",IF(OR(E47&lt;0,E47&gt;1),"Invalid allocation share",IF(ABS(SUMIF($B$7:$B$106,B47,$E$7:$E$106)-1)&gt;0.000000001,"Line shares must total 1","")))))))))</x:f>
      </x:c>
    </x:row>
    <x:row r="48" ht="26" customHeight="1">
      <x:c r="A48" s="16"/>
      <x:c r="B48" s="16"/>
      <x:c r="C48" s="16"/>
      <x:c r="D48" s="16"/>
      <x:c r="E48" s="11"/>
      <x:c r="F48" s="7"/>
      <x:c r="G48" s="15" t="str">
        <x:f>IF(OR(B48="",COUNTIF('Takeoff'!$A$7:$A$106,B48)&lt;&gt;1),"",IF(NOT(ISNUMBER(INDEX('Takeoff'!$O$7:$O$106,MATCH(B48,'Takeoff'!$A$7:$A$106,0)))),"",INDEX('Takeoff'!$O$7:$O$106,MATCH(B48,'Takeoff'!$A$7:$A$106,0))))</x:f>
      </x:c>
      <x:c r="H48" s="15" t="str">
        <x:f>IF(OR(A48="",I48&lt;&gt;""),"",G48*E48)</x:f>
      </x:c>
      <x:c r="I48" s="14" t="str">
        <x:f>IF(A48="","",IF(COUNTIF($A$7:$A$106,A48)&lt;&gt;1,"Duplicate allocation ID",IF(NOT(ISNUMBER(G48)),"Missing valid priced line",IF(AND(D48&lt;&gt;"Confirmed",D48&lt;&gt;"Provisional",D48&lt;&gt;"Unallocated"),"Missing coding state",IF(AND(D48&lt;&gt;"Unallocated",C48=""),"Missing code",IF(AND(D48&lt;&gt;"Unallocated",F48=""),"Missing code evidence",IF(NOT(ISNUMBER(E48)),"Missing allocation share",IF(OR(E48&lt;0,E48&gt;1),"Invalid allocation share",IF(ABS(SUMIF($B$7:$B$106,B48,$E$7:$E$106)-1)&gt;0.000000001,"Line shares must total 1","")))))))))</x:f>
      </x:c>
    </x:row>
    <x:row r="49" ht="26" customHeight="1">
      <x:c r="A49" s="16"/>
      <x:c r="B49" s="16"/>
      <x:c r="C49" s="16"/>
      <x:c r="D49" s="16"/>
      <x:c r="E49" s="11"/>
      <x:c r="F49" s="7"/>
      <x:c r="G49" s="15" t="str">
        <x:f>IF(OR(B49="",COUNTIF('Takeoff'!$A$7:$A$106,B49)&lt;&gt;1),"",IF(NOT(ISNUMBER(INDEX('Takeoff'!$O$7:$O$106,MATCH(B49,'Takeoff'!$A$7:$A$106,0)))),"",INDEX('Takeoff'!$O$7:$O$106,MATCH(B49,'Takeoff'!$A$7:$A$106,0))))</x:f>
      </x:c>
      <x:c r="H49" s="15" t="str">
        <x:f>IF(OR(A49="",I49&lt;&gt;""),"",G49*E49)</x:f>
      </x:c>
      <x:c r="I49" s="14" t="str">
        <x:f>IF(A49="","",IF(COUNTIF($A$7:$A$106,A49)&lt;&gt;1,"Duplicate allocation ID",IF(NOT(ISNUMBER(G49)),"Missing valid priced line",IF(AND(D49&lt;&gt;"Confirmed",D49&lt;&gt;"Provisional",D49&lt;&gt;"Unallocated"),"Missing coding state",IF(AND(D49&lt;&gt;"Unallocated",C49=""),"Missing code",IF(AND(D49&lt;&gt;"Unallocated",F49=""),"Missing code evidence",IF(NOT(ISNUMBER(E49)),"Missing allocation share",IF(OR(E49&lt;0,E49&gt;1),"Invalid allocation share",IF(ABS(SUMIF($B$7:$B$106,B49,$E$7:$E$106)-1)&gt;0.000000001,"Line shares must total 1","")))))))))</x:f>
      </x:c>
    </x:row>
    <x:row r="50" ht="26" customHeight="1">
      <x:c r="A50" s="16"/>
      <x:c r="B50" s="16"/>
      <x:c r="C50" s="16"/>
      <x:c r="D50" s="16"/>
      <x:c r="E50" s="11"/>
      <x:c r="F50" s="7"/>
      <x:c r="G50" s="15" t="str">
        <x:f>IF(OR(B50="",COUNTIF('Takeoff'!$A$7:$A$106,B50)&lt;&gt;1),"",IF(NOT(ISNUMBER(INDEX('Takeoff'!$O$7:$O$106,MATCH(B50,'Takeoff'!$A$7:$A$106,0)))),"",INDEX('Takeoff'!$O$7:$O$106,MATCH(B50,'Takeoff'!$A$7:$A$106,0))))</x:f>
      </x:c>
      <x:c r="H50" s="15" t="str">
        <x:f>IF(OR(A50="",I50&lt;&gt;""),"",G50*E50)</x:f>
      </x:c>
      <x:c r="I50" s="14" t="str">
        <x:f>IF(A50="","",IF(COUNTIF($A$7:$A$106,A50)&lt;&gt;1,"Duplicate allocation ID",IF(NOT(ISNUMBER(G50)),"Missing valid priced line",IF(AND(D50&lt;&gt;"Confirmed",D50&lt;&gt;"Provisional",D50&lt;&gt;"Unallocated"),"Missing coding state",IF(AND(D50&lt;&gt;"Unallocated",C50=""),"Missing code",IF(AND(D50&lt;&gt;"Unallocated",F50=""),"Missing code evidence",IF(NOT(ISNUMBER(E50)),"Missing allocation share",IF(OR(E50&lt;0,E50&gt;1),"Invalid allocation share",IF(ABS(SUMIF($B$7:$B$106,B50,$E$7:$E$106)-1)&gt;0.000000001,"Line shares must total 1","")))))))))</x:f>
      </x:c>
    </x:row>
    <x:row r="51" ht="26" customHeight="1">
      <x:c r="A51" s="16"/>
      <x:c r="B51" s="16"/>
      <x:c r="C51" s="16"/>
      <x:c r="D51" s="16"/>
      <x:c r="E51" s="11"/>
      <x:c r="F51" s="7"/>
      <x:c r="G51" s="15" t="str">
        <x:f>IF(OR(B51="",COUNTIF('Takeoff'!$A$7:$A$106,B51)&lt;&gt;1),"",IF(NOT(ISNUMBER(INDEX('Takeoff'!$O$7:$O$106,MATCH(B51,'Takeoff'!$A$7:$A$106,0)))),"",INDEX('Takeoff'!$O$7:$O$106,MATCH(B51,'Takeoff'!$A$7:$A$106,0))))</x:f>
      </x:c>
      <x:c r="H51" s="15" t="str">
        <x:f>IF(OR(A51="",I51&lt;&gt;""),"",G51*E51)</x:f>
      </x:c>
      <x:c r="I51" s="14" t="str">
        <x:f>IF(A51="","",IF(COUNTIF($A$7:$A$106,A51)&lt;&gt;1,"Duplicate allocation ID",IF(NOT(ISNUMBER(G51)),"Missing valid priced line",IF(AND(D51&lt;&gt;"Confirmed",D51&lt;&gt;"Provisional",D51&lt;&gt;"Unallocated"),"Missing coding state",IF(AND(D51&lt;&gt;"Unallocated",C51=""),"Missing code",IF(AND(D51&lt;&gt;"Unallocated",F51=""),"Missing code evidence",IF(NOT(ISNUMBER(E51)),"Missing allocation share",IF(OR(E51&lt;0,E51&gt;1),"Invalid allocation share",IF(ABS(SUMIF($B$7:$B$106,B51,$E$7:$E$106)-1)&gt;0.000000001,"Line shares must total 1","")))))))))</x:f>
      </x:c>
    </x:row>
    <x:row r="52" ht="26" customHeight="1">
      <x:c r="A52" s="16"/>
      <x:c r="B52" s="16"/>
      <x:c r="C52" s="16"/>
      <x:c r="D52" s="16"/>
      <x:c r="E52" s="11"/>
      <x:c r="F52" s="7"/>
      <x:c r="G52" s="15" t="str">
        <x:f>IF(OR(B52="",COUNTIF('Takeoff'!$A$7:$A$106,B52)&lt;&gt;1),"",IF(NOT(ISNUMBER(INDEX('Takeoff'!$O$7:$O$106,MATCH(B52,'Takeoff'!$A$7:$A$106,0)))),"",INDEX('Takeoff'!$O$7:$O$106,MATCH(B52,'Takeoff'!$A$7:$A$106,0))))</x:f>
      </x:c>
      <x:c r="H52" s="15" t="str">
        <x:f>IF(OR(A52="",I52&lt;&gt;""),"",G52*E52)</x:f>
      </x:c>
      <x:c r="I52" s="14" t="str">
        <x:f>IF(A52="","",IF(COUNTIF($A$7:$A$106,A52)&lt;&gt;1,"Duplicate allocation ID",IF(NOT(ISNUMBER(G52)),"Missing valid priced line",IF(AND(D52&lt;&gt;"Confirmed",D52&lt;&gt;"Provisional",D52&lt;&gt;"Unallocated"),"Missing coding state",IF(AND(D52&lt;&gt;"Unallocated",C52=""),"Missing code",IF(AND(D52&lt;&gt;"Unallocated",F52=""),"Missing code evidence",IF(NOT(ISNUMBER(E52)),"Missing allocation share",IF(OR(E52&lt;0,E52&gt;1),"Invalid allocation share",IF(ABS(SUMIF($B$7:$B$106,B52,$E$7:$E$106)-1)&gt;0.000000001,"Line shares must total 1","")))))))))</x:f>
      </x:c>
    </x:row>
    <x:row r="53" ht="26" customHeight="1">
      <x:c r="A53" s="16"/>
      <x:c r="B53" s="16"/>
      <x:c r="C53" s="16"/>
      <x:c r="D53" s="16"/>
      <x:c r="E53" s="11"/>
      <x:c r="F53" s="7"/>
      <x:c r="G53" s="15" t="str">
        <x:f>IF(OR(B53="",COUNTIF('Takeoff'!$A$7:$A$106,B53)&lt;&gt;1),"",IF(NOT(ISNUMBER(INDEX('Takeoff'!$O$7:$O$106,MATCH(B53,'Takeoff'!$A$7:$A$106,0)))),"",INDEX('Takeoff'!$O$7:$O$106,MATCH(B53,'Takeoff'!$A$7:$A$106,0))))</x:f>
      </x:c>
      <x:c r="H53" s="15" t="str">
        <x:f>IF(OR(A53="",I53&lt;&gt;""),"",G53*E53)</x:f>
      </x:c>
      <x:c r="I53" s="14" t="str">
        <x:f>IF(A53="","",IF(COUNTIF($A$7:$A$106,A53)&lt;&gt;1,"Duplicate allocation ID",IF(NOT(ISNUMBER(G53)),"Missing valid priced line",IF(AND(D53&lt;&gt;"Confirmed",D53&lt;&gt;"Provisional",D53&lt;&gt;"Unallocated"),"Missing coding state",IF(AND(D53&lt;&gt;"Unallocated",C53=""),"Missing code",IF(AND(D53&lt;&gt;"Unallocated",F53=""),"Missing code evidence",IF(NOT(ISNUMBER(E53)),"Missing allocation share",IF(OR(E53&lt;0,E53&gt;1),"Invalid allocation share",IF(ABS(SUMIF($B$7:$B$106,B53,$E$7:$E$106)-1)&gt;0.000000001,"Line shares must total 1","")))))))))</x:f>
      </x:c>
    </x:row>
    <x:row r="54" ht="26" customHeight="1">
      <x:c r="A54" s="16"/>
      <x:c r="B54" s="16"/>
      <x:c r="C54" s="16"/>
      <x:c r="D54" s="16"/>
      <x:c r="E54" s="11"/>
      <x:c r="F54" s="7"/>
      <x:c r="G54" s="15" t="str">
        <x:f>IF(OR(B54="",COUNTIF('Takeoff'!$A$7:$A$106,B54)&lt;&gt;1),"",IF(NOT(ISNUMBER(INDEX('Takeoff'!$O$7:$O$106,MATCH(B54,'Takeoff'!$A$7:$A$106,0)))),"",INDEX('Takeoff'!$O$7:$O$106,MATCH(B54,'Takeoff'!$A$7:$A$106,0))))</x:f>
      </x:c>
      <x:c r="H54" s="15" t="str">
        <x:f>IF(OR(A54="",I54&lt;&gt;""),"",G54*E54)</x:f>
      </x:c>
      <x:c r="I54" s="14" t="str">
        <x:f>IF(A54="","",IF(COUNTIF($A$7:$A$106,A54)&lt;&gt;1,"Duplicate allocation ID",IF(NOT(ISNUMBER(G54)),"Missing valid priced line",IF(AND(D54&lt;&gt;"Confirmed",D54&lt;&gt;"Provisional",D54&lt;&gt;"Unallocated"),"Missing coding state",IF(AND(D54&lt;&gt;"Unallocated",C54=""),"Missing code",IF(AND(D54&lt;&gt;"Unallocated",F54=""),"Missing code evidence",IF(NOT(ISNUMBER(E54)),"Missing allocation share",IF(OR(E54&lt;0,E54&gt;1),"Invalid allocation share",IF(ABS(SUMIF($B$7:$B$106,B54,$E$7:$E$106)-1)&gt;0.000000001,"Line shares must total 1","")))))))))</x:f>
      </x:c>
    </x:row>
    <x:row r="55" ht="26" customHeight="1">
      <x:c r="A55" s="16"/>
      <x:c r="B55" s="16"/>
      <x:c r="C55" s="16"/>
      <x:c r="D55" s="16"/>
      <x:c r="E55" s="11"/>
      <x:c r="F55" s="7"/>
      <x:c r="G55" s="15" t="str">
        <x:f>IF(OR(B55="",COUNTIF('Takeoff'!$A$7:$A$106,B55)&lt;&gt;1),"",IF(NOT(ISNUMBER(INDEX('Takeoff'!$O$7:$O$106,MATCH(B55,'Takeoff'!$A$7:$A$106,0)))),"",INDEX('Takeoff'!$O$7:$O$106,MATCH(B55,'Takeoff'!$A$7:$A$106,0))))</x:f>
      </x:c>
      <x:c r="H55" s="15" t="str">
        <x:f>IF(OR(A55="",I55&lt;&gt;""),"",G55*E55)</x:f>
      </x:c>
      <x:c r="I55" s="14" t="str">
        <x:f>IF(A55="","",IF(COUNTIF($A$7:$A$106,A55)&lt;&gt;1,"Duplicate allocation ID",IF(NOT(ISNUMBER(G55)),"Missing valid priced line",IF(AND(D55&lt;&gt;"Confirmed",D55&lt;&gt;"Provisional",D55&lt;&gt;"Unallocated"),"Missing coding state",IF(AND(D55&lt;&gt;"Unallocated",C55=""),"Missing code",IF(AND(D55&lt;&gt;"Unallocated",F55=""),"Missing code evidence",IF(NOT(ISNUMBER(E55)),"Missing allocation share",IF(OR(E55&lt;0,E55&gt;1),"Invalid allocation share",IF(ABS(SUMIF($B$7:$B$106,B55,$E$7:$E$106)-1)&gt;0.000000001,"Line shares must total 1","")))))))))</x:f>
      </x:c>
    </x:row>
    <x:row r="56" ht="26" customHeight="1">
      <x:c r="A56" s="16"/>
      <x:c r="B56" s="16"/>
      <x:c r="C56" s="16"/>
      <x:c r="D56" s="16"/>
      <x:c r="E56" s="11"/>
      <x:c r="F56" s="7"/>
      <x:c r="G56" s="15" t="str">
        <x:f>IF(OR(B56="",COUNTIF('Takeoff'!$A$7:$A$106,B56)&lt;&gt;1),"",IF(NOT(ISNUMBER(INDEX('Takeoff'!$O$7:$O$106,MATCH(B56,'Takeoff'!$A$7:$A$106,0)))),"",INDEX('Takeoff'!$O$7:$O$106,MATCH(B56,'Takeoff'!$A$7:$A$106,0))))</x:f>
      </x:c>
      <x:c r="H56" s="15" t="str">
        <x:f>IF(OR(A56="",I56&lt;&gt;""),"",G56*E56)</x:f>
      </x:c>
      <x:c r="I56" s="14" t="str">
        <x:f>IF(A56="","",IF(COUNTIF($A$7:$A$106,A56)&lt;&gt;1,"Duplicate allocation ID",IF(NOT(ISNUMBER(G56)),"Missing valid priced line",IF(AND(D56&lt;&gt;"Confirmed",D56&lt;&gt;"Provisional",D56&lt;&gt;"Unallocated"),"Missing coding state",IF(AND(D56&lt;&gt;"Unallocated",C56=""),"Missing code",IF(AND(D56&lt;&gt;"Unallocated",F56=""),"Missing code evidence",IF(NOT(ISNUMBER(E56)),"Missing allocation share",IF(OR(E56&lt;0,E56&gt;1),"Invalid allocation share",IF(ABS(SUMIF($B$7:$B$106,B56,$E$7:$E$106)-1)&gt;0.000000001,"Line shares must total 1","")))))))))</x:f>
      </x:c>
    </x:row>
    <x:row r="57" ht="26" customHeight="1">
      <x:c r="A57" s="16"/>
      <x:c r="B57" s="16"/>
      <x:c r="C57" s="16"/>
      <x:c r="D57" s="16"/>
      <x:c r="E57" s="11"/>
      <x:c r="F57" s="7"/>
      <x:c r="G57" s="15" t="str">
        <x:f>IF(OR(B57="",COUNTIF('Takeoff'!$A$7:$A$106,B57)&lt;&gt;1),"",IF(NOT(ISNUMBER(INDEX('Takeoff'!$O$7:$O$106,MATCH(B57,'Takeoff'!$A$7:$A$106,0)))),"",INDEX('Takeoff'!$O$7:$O$106,MATCH(B57,'Takeoff'!$A$7:$A$106,0))))</x:f>
      </x:c>
      <x:c r="H57" s="15" t="str">
        <x:f>IF(OR(A57="",I57&lt;&gt;""),"",G57*E57)</x:f>
      </x:c>
      <x:c r="I57" s="14" t="str">
        <x:f>IF(A57="","",IF(COUNTIF($A$7:$A$106,A57)&lt;&gt;1,"Duplicate allocation ID",IF(NOT(ISNUMBER(G57)),"Missing valid priced line",IF(AND(D57&lt;&gt;"Confirmed",D57&lt;&gt;"Provisional",D57&lt;&gt;"Unallocated"),"Missing coding state",IF(AND(D57&lt;&gt;"Unallocated",C57=""),"Missing code",IF(AND(D57&lt;&gt;"Unallocated",F57=""),"Missing code evidence",IF(NOT(ISNUMBER(E57)),"Missing allocation share",IF(OR(E57&lt;0,E57&gt;1),"Invalid allocation share",IF(ABS(SUMIF($B$7:$B$106,B57,$E$7:$E$106)-1)&gt;0.000000001,"Line shares must total 1","")))))))))</x:f>
      </x:c>
    </x:row>
    <x:row r="58" ht="26" customHeight="1">
      <x:c r="A58" s="16"/>
      <x:c r="B58" s="16"/>
      <x:c r="C58" s="16"/>
      <x:c r="D58" s="16"/>
      <x:c r="E58" s="11"/>
      <x:c r="F58" s="7"/>
      <x:c r="G58" s="15" t="str">
        <x:f>IF(OR(B58="",COUNTIF('Takeoff'!$A$7:$A$106,B58)&lt;&gt;1),"",IF(NOT(ISNUMBER(INDEX('Takeoff'!$O$7:$O$106,MATCH(B58,'Takeoff'!$A$7:$A$106,0)))),"",INDEX('Takeoff'!$O$7:$O$106,MATCH(B58,'Takeoff'!$A$7:$A$106,0))))</x:f>
      </x:c>
      <x:c r="H58" s="15" t="str">
        <x:f>IF(OR(A58="",I58&lt;&gt;""),"",G58*E58)</x:f>
      </x:c>
      <x:c r="I58" s="14" t="str">
        <x:f>IF(A58="","",IF(COUNTIF($A$7:$A$106,A58)&lt;&gt;1,"Duplicate allocation ID",IF(NOT(ISNUMBER(G58)),"Missing valid priced line",IF(AND(D58&lt;&gt;"Confirmed",D58&lt;&gt;"Provisional",D58&lt;&gt;"Unallocated"),"Missing coding state",IF(AND(D58&lt;&gt;"Unallocated",C58=""),"Missing code",IF(AND(D58&lt;&gt;"Unallocated",F58=""),"Missing code evidence",IF(NOT(ISNUMBER(E58)),"Missing allocation share",IF(OR(E58&lt;0,E58&gt;1),"Invalid allocation share",IF(ABS(SUMIF($B$7:$B$106,B58,$E$7:$E$106)-1)&gt;0.000000001,"Line shares must total 1","")))))))))</x:f>
      </x:c>
    </x:row>
    <x:row r="59" ht="26" customHeight="1">
      <x:c r="A59" s="16"/>
      <x:c r="B59" s="16"/>
      <x:c r="C59" s="16"/>
      <x:c r="D59" s="16"/>
      <x:c r="E59" s="11"/>
      <x:c r="F59" s="7"/>
      <x:c r="G59" s="15" t="str">
        <x:f>IF(OR(B59="",COUNTIF('Takeoff'!$A$7:$A$106,B59)&lt;&gt;1),"",IF(NOT(ISNUMBER(INDEX('Takeoff'!$O$7:$O$106,MATCH(B59,'Takeoff'!$A$7:$A$106,0)))),"",INDEX('Takeoff'!$O$7:$O$106,MATCH(B59,'Takeoff'!$A$7:$A$106,0))))</x:f>
      </x:c>
      <x:c r="H59" s="15" t="str">
        <x:f>IF(OR(A59="",I59&lt;&gt;""),"",G59*E59)</x:f>
      </x:c>
      <x:c r="I59" s="14" t="str">
        <x:f>IF(A59="","",IF(COUNTIF($A$7:$A$106,A59)&lt;&gt;1,"Duplicate allocation ID",IF(NOT(ISNUMBER(G59)),"Missing valid priced line",IF(AND(D59&lt;&gt;"Confirmed",D59&lt;&gt;"Provisional",D59&lt;&gt;"Unallocated"),"Missing coding state",IF(AND(D59&lt;&gt;"Unallocated",C59=""),"Missing code",IF(AND(D59&lt;&gt;"Unallocated",F59=""),"Missing code evidence",IF(NOT(ISNUMBER(E59)),"Missing allocation share",IF(OR(E59&lt;0,E59&gt;1),"Invalid allocation share",IF(ABS(SUMIF($B$7:$B$106,B59,$E$7:$E$106)-1)&gt;0.000000001,"Line shares must total 1","")))))))))</x:f>
      </x:c>
    </x:row>
    <x:row r="60" ht="26" customHeight="1">
      <x:c r="A60" s="16"/>
      <x:c r="B60" s="16"/>
      <x:c r="C60" s="16"/>
      <x:c r="D60" s="16"/>
      <x:c r="E60" s="11"/>
      <x:c r="F60" s="7"/>
      <x:c r="G60" s="15" t="str">
        <x:f>IF(OR(B60="",COUNTIF('Takeoff'!$A$7:$A$106,B60)&lt;&gt;1),"",IF(NOT(ISNUMBER(INDEX('Takeoff'!$O$7:$O$106,MATCH(B60,'Takeoff'!$A$7:$A$106,0)))),"",INDEX('Takeoff'!$O$7:$O$106,MATCH(B60,'Takeoff'!$A$7:$A$106,0))))</x:f>
      </x:c>
      <x:c r="H60" s="15" t="str">
        <x:f>IF(OR(A60="",I60&lt;&gt;""),"",G60*E60)</x:f>
      </x:c>
      <x:c r="I60" s="14" t="str">
        <x:f>IF(A60="","",IF(COUNTIF($A$7:$A$106,A60)&lt;&gt;1,"Duplicate allocation ID",IF(NOT(ISNUMBER(G60)),"Missing valid priced line",IF(AND(D60&lt;&gt;"Confirmed",D60&lt;&gt;"Provisional",D60&lt;&gt;"Unallocated"),"Missing coding state",IF(AND(D60&lt;&gt;"Unallocated",C60=""),"Missing code",IF(AND(D60&lt;&gt;"Unallocated",F60=""),"Missing code evidence",IF(NOT(ISNUMBER(E60)),"Missing allocation share",IF(OR(E60&lt;0,E60&gt;1),"Invalid allocation share",IF(ABS(SUMIF($B$7:$B$106,B60,$E$7:$E$106)-1)&gt;0.000000001,"Line shares must total 1","")))))))))</x:f>
      </x:c>
    </x:row>
    <x:row r="61" ht="26" customHeight="1">
      <x:c r="A61" s="16"/>
      <x:c r="B61" s="16"/>
      <x:c r="C61" s="16"/>
      <x:c r="D61" s="16"/>
      <x:c r="E61" s="11"/>
      <x:c r="F61" s="7"/>
      <x:c r="G61" s="15" t="str">
        <x:f>IF(OR(B61="",COUNTIF('Takeoff'!$A$7:$A$106,B61)&lt;&gt;1),"",IF(NOT(ISNUMBER(INDEX('Takeoff'!$O$7:$O$106,MATCH(B61,'Takeoff'!$A$7:$A$106,0)))),"",INDEX('Takeoff'!$O$7:$O$106,MATCH(B61,'Takeoff'!$A$7:$A$106,0))))</x:f>
      </x:c>
      <x:c r="H61" s="15" t="str">
        <x:f>IF(OR(A61="",I61&lt;&gt;""),"",G61*E61)</x:f>
      </x:c>
      <x:c r="I61" s="14" t="str">
        <x:f>IF(A61="","",IF(COUNTIF($A$7:$A$106,A61)&lt;&gt;1,"Duplicate allocation ID",IF(NOT(ISNUMBER(G61)),"Missing valid priced line",IF(AND(D61&lt;&gt;"Confirmed",D61&lt;&gt;"Provisional",D61&lt;&gt;"Unallocated"),"Missing coding state",IF(AND(D61&lt;&gt;"Unallocated",C61=""),"Missing code",IF(AND(D61&lt;&gt;"Unallocated",F61=""),"Missing code evidence",IF(NOT(ISNUMBER(E61)),"Missing allocation share",IF(OR(E61&lt;0,E61&gt;1),"Invalid allocation share",IF(ABS(SUMIF($B$7:$B$106,B61,$E$7:$E$106)-1)&gt;0.000000001,"Line shares must total 1","")))))))))</x:f>
      </x:c>
    </x:row>
    <x:row r="62" ht="26" customHeight="1">
      <x:c r="A62" s="16"/>
      <x:c r="B62" s="16"/>
      <x:c r="C62" s="16"/>
      <x:c r="D62" s="16"/>
      <x:c r="E62" s="11"/>
      <x:c r="F62" s="7"/>
      <x:c r="G62" s="15" t="str">
        <x:f>IF(OR(B62="",COUNTIF('Takeoff'!$A$7:$A$106,B62)&lt;&gt;1),"",IF(NOT(ISNUMBER(INDEX('Takeoff'!$O$7:$O$106,MATCH(B62,'Takeoff'!$A$7:$A$106,0)))),"",INDEX('Takeoff'!$O$7:$O$106,MATCH(B62,'Takeoff'!$A$7:$A$106,0))))</x:f>
      </x:c>
      <x:c r="H62" s="15" t="str">
        <x:f>IF(OR(A62="",I62&lt;&gt;""),"",G62*E62)</x:f>
      </x:c>
      <x:c r="I62" s="14" t="str">
        <x:f>IF(A62="","",IF(COUNTIF($A$7:$A$106,A62)&lt;&gt;1,"Duplicate allocation ID",IF(NOT(ISNUMBER(G62)),"Missing valid priced line",IF(AND(D62&lt;&gt;"Confirmed",D62&lt;&gt;"Provisional",D62&lt;&gt;"Unallocated"),"Missing coding state",IF(AND(D62&lt;&gt;"Unallocated",C62=""),"Missing code",IF(AND(D62&lt;&gt;"Unallocated",F62=""),"Missing code evidence",IF(NOT(ISNUMBER(E62)),"Missing allocation share",IF(OR(E62&lt;0,E62&gt;1),"Invalid allocation share",IF(ABS(SUMIF($B$7:$B$106,B62,$E$7:$E$106)-1)&gt;0.000000001,"Line shares must total 1","")))))))))</x:f>
      </x:c>
    </x:row>
    <x:row r="63" ht="26" customHeight="1">
      <x:c r="A63" s="16"/>
      <x:c r="B63" s="16"/>
      <x:c r="C63" s="16"/>
      <x:c r="D63" s="16"/>
      <x:c r="E63" s="11"/>
      <x:c r="F63" s="7"/>
      <x:c r="G63" s="15" t="str">
        <x:f>IF(OR(B63="",COUNTIF('Takeoff'!$A$7:$A$106,B63)&lt;&gt;1),"",IF(NOT(ISNUMBER(INDEX('Takeoff'!$O$7:$O$106,MATCH(B63,'Takeoff'!$A$7:$A$106,0)))),"",INDEX('Takeoff'!$O$7:$O$106,MATCH(B63,'Takeoff'!$A$7:$A$106,0))))</x:f>
      </x:c>
      <x:c r="H63" s="15" t="str">
        <x:f>IF(OR(A63="",I63&lt;&gt;""),"",G63*E63)</x:f>
      </x:c>
      <x:c r="I63" s="14" t="str">
        <x:f>IF(A63="","",IF(COUNTIF($A$7:$A$106,A63)&lt;&gt;1,"Duplicate allocation ID",IF(NOT(ISNUMBER(G63)),"Missing valid priced line",IF(AND(D63&lt;&gt;"Confirmed",D63&lt;&gt;"Provisional",D63&lt;&gt;"Unallocated"),"Missing coding state",IF(AND(D63&lt;&gt;"Unallocated",C63=""),"Missing code",IF(AND(D63&lt;&gt;"Unallocated",F63=""),"Missing code evidence",IF(NOT(ISNUMBER(E63)),"Missing allocation share",IF(OR(E63&lt;0,E63&gt;1),"Invalid allocation share",IF(ABS(SUMIF($B$7:$B$106,B63,$E$7:$E$106)-1)&gt;0.000000001,"Line shares must total 1","")))))))))</x:f>
      </x:c>
    </x:row>
    <x:row r="64" ht="26" customHeight="1">
      <x:c r="A64" s="16"/>
      <x:c r="B64" s="16"/>
      <x:c r="C64" s="16"/>
      <x:c r="D64" s="16"/>
      <x:c r="E64" s="11"/>
      <x:c r="F64" s="7"/>
      <x:c r="G64" s="15" t="str">
        <x:f>IF(OR(B64="",COUNTIF('Takeoff'!$A$7:$A$106,B64)&lt;&gt;1),"",IF(NOT(ISNUMBER(INDEX('Takeoff'!$O$7:$O$106,MATCH(B64,'Takeoff'!$A$7:$A$106,0)))),"",INDEX('Takeoff'!$O$7:$O$106,MATCH(B64,'Takeoff'!$A$7:$A$106,0))))</x:f>
      </x:c>
      <x:c r="H64" s="15" t="str">
        <x:f>IF(OR(A64="",I64&lt;&gt;""),"",G64*E64)</x:f>
      </x:c>
      <x:c r="I64" s="14" t="str">
        <x:f>IF(A64="","",IF(COUNTIF($A$7:$A$106,A64)&lt;&gt;1,"Duplicate allocation ID",IF(NOT(ISNUMBER(G64)),"Missing valid priced line",IF(AND(D64&lt;&gt;"Confirmed",D64&lt;&gt;"Provisional",D64&lt;&gt;"Unallocated"),"Missing coding state",IF(AND(D64&lt;&gt;"Unallocated",C64=""),"Missing code",IF(AND(D64&lt;&gt;"Unallocated",F64=""),"Missing code evidence",IF(NOT(ISNUMBER(E64)),"Missing allocation share",IF(OR(E64&lt;0,E64&gt;1),"Invalid allocation share",IF(ABS(SUMIF($B$7:$B$106,B64,$E$7:$E$106)-1)&gt;0.000000001,"Line shares must total 1","")))))))))</x:f>
      </x:c>
    </x:row>
    <x:row r="65" ht="26" customHeight="1">
      <x:c r="A65" s="16"/>
      <x:c r="B65" s="16"/>
      <x:c r="C65" s="16"/>
      <x:c r="D65" s="16"/>
      <x:c r="E65" s="11"/>
      <x:c r="F65" s="7"/>
      <x:c r="G65" s="15" t="str">
        <x:f>IF(OR(B65="",COUNTIF('Takeoff'!$A$7:$A$106,B65)&lt;&gt;1),"",IF(NOT(ISNUMBER(INDEX('Takeoff'!$O$7:$O$106,MATCH(B65,'Takeoff'!$A$7:$A$106,0)))),"",INDEX('Takeoff'!$O$7:$O$106,MATCH(B65,'Takeoff'!$A$7:$A$106,0))))</x:f>
      </x:c>
      <x:c r="H65" s="15" t="str">
        <x:f>IF(OR(A65="",I65&lt;&gt;""),"",G65*E65)</x:f>
      </x:c>
      <x:c r="I65" s="14" t="str">
        <x:f>IF(A65="","",IF(COUNTIF($A$7:$A$106,A65)&lt;&gt;1,"Duplicate allocation ID",IF(NOT(ISNUMBER(G65)),"Missing valid priced line",IF(AND(D65&lt;&gt;"Confirmed",D65&lt;&gt;"Provisional",D65&lt;&gt;"Unallocated"),"Missing coding state",IF(AND(D65&lt;&gt;"Unallocated",C65=""),"Missing code",IF(AND(D65&lt;&gt;"Unallocated",F65=""),"Missing code evidence",IF(NOT(ISNUMBER(E65)),"Missing allocation share",IF(OR(E65&lt;0,E65&gt;1),"Invalid allocation share",IF(ABS(SUMIF($B$7:$B$106,B65,$E$7:$E$106)-1)&gt;0.000000001,"Line shares must total 1","")))))))))</x:f>
      </x:c>
    </x:row>
    <x:row r="66" ht="26" customHeight="1">
      <x:c r="A66" s="16"/>
      <x:c r="B66" s="16"/>
      <x:c r="C66" s="16"/>
      <x:c r="D66" s="16"/>
      <x:c r="E66" s="11"/>
      <x:c r="F66" s="7"/>
      <x:c r="G66" s="15" t="str">
        <x:f>IF(OR(B66="",COUNTIF('Takeoff'!$A$7:$A$106,B66)&lt;&gt;1),"",IF(NOT(ISNUMBER(INDEX('Takeoff'!$O$7:$O$106,MATCH(B66,'Takeoff'!$A$7:$A$106,0)))),"",INDEX('Takeoff'!$O$7:$O$106,MATCH(B66,'Takeoff'!$A$7:$A$106,0))))</x:f>
      </x:c>
      <x:c r="H66" s="15" t="str">
        <x:f>IF(OR(A66="",I66&lt;&gt;""),"",G66*E66)</x:f>
      </x:c>
      <x:c r="I66" s="14" t="str">
        <x:f>IF(A66="","",IF(COUNTIF($A$7:$A$106,A66)&lt;&gt;1,"Duplicate allocation ID",IF(NOT(ISNUMBER(G66)),"Missing valid priced line",IF(AND(D66&lt;&gt;"Confirmed",D66&lt;&gt;"Provisional",D66&lt;&gt;"Unallocated"),"Missing coding state",IF(AND(D66&lt;&gt;"Unallocated",C66=""),"Missing code",IF(AND(D66&lt;&gt;"Unallocated",F66=""),"Missing code evidence",IF(NOT(ISNUMBER(E66)),"Missing allocation share",IF(OR(E66&lt;0,E66&gt;1),"Invalid allocation share",IF(ABS(SUMIF($B$7:$B$106,B66,$E$7:$E$106)-1)&gt;0.000000001,"Line shares must total 1","")))))))))</x:f>
      </x:c>
    </x:row>
    <x:row r="67" ht="26" customHeight="1">
      <x:c r="A67" s="16"/>
      <x:c r="B67" s="16"/>
      <x:c r="C67" s="16"/>
      <x:c r="D67" s="16"/>
      <x:c r="E67" s="11"/>
      <x:c r="F67" s="7"/>
      <x:c r="G67" s="15" t="str">
        <x:f>IF(OR(B67="",COUNTIF('Takeoff'!$A$7:$A$106,B67)&lt;&gt;1),"",IF(NOT(ISNUMBER(INDEX('Takeoff'!$O$7:$O$106,MATCH(B67,'Takeoff'!$A$7:$A$106,0)))),"",INDEX('Takeoff'!$O$7:$O$106,MATCH(B67,'Takeoff'!$A$7:$A$106,0))))</x:f>
      </x:c>
      <x:c r="H67" s="15" t="str">
        <x:f>IF(OR(A67="",I67&lt;&gt;""),"",G67*E67)</x:f>
      </x:c>
      <x:c r="I67" s="14" t="str">
        <x:f>IF(A67="","",IF(COUNTIF($A$7:$A$106,A67)&lt;&gt;1,"Duplicate allocation ID",IF(NOT(ISNUMBER(G67)),"Missing valid priced line",IF(AND(D67&lt;&gt;"Confirmed",D67&lt;&gt;"Provisional",D67&lt;&gt;"Unallocated"),"Missing coding state",IF(AND(D67&lt;&gt;"Unallocated",C67=""),"Missing code",IF(AND(D67&lt;&gt;"Unallocated",F67=""),"Missing code evidence",IF(NOT(ISNUMBER(E67)),"Missing allocation share",IF(OR(E67&lt;0,E67&gt;1),"Invalid allocation share",IF(ABS(SUMIF($B$7:$B$106,B67,$E$7:$E$106)-1)&gt;0.000000001,"Line shares must total 1","")))))))))</x:f>
      </x:c>
    </x:row>
    <x:row r="68" ht="26" customHeight="1">
      <x:c r="A68" s="16"/>
      <x:c r="B68" s="16"/>
      <x:c r="C68" s="16"/>
      <x:c r="D68" s="16"/>
      <x:c r="E68" s="11"/>
      <x:c r="F68" s="7"/>
      <x:c r="G68" s="15" t="str">
        <x:f>IF(OR(B68="",COUNTIF('Takeoff'!$A$7:$A$106,B68)&lt;&gt;1),"",IF(NOT(ISNUMBER(INDEX('Takeoff'!$O$7:$O$106,MATCH(B68,'Takeoff'!$A$7:$A$106,0)))),"",INDEX('Takeoff'!$O$7:$O$106,MATCH(B68,'Takeoff'!$A$7:$A$106,0))))</x:f>
      </x:c>
      <x:c r="H68" s="15" t="str">
        <x:f>IF(OR(A68="",I68&lt;&gt;""),"",G68*E68)</x:f>
      </x:c>
      <x:c r="I68" s="14" t="str">
        <x:f>IF(A68="","",IF(COUNTIF($A$7:$A$106,A68)&lt;&gt;1,"Duplicate allocation ID",IF(NOT(ISNUMBER(G68)),"Missing valid priced line",IF(AND(D68&lt;&gt;"Confirmed",D68&lt;&gt;"Provisional",D68&lt;&gt;"Unallocated"),"Missing coding state",IF(AND(D68&lt;&gt;"Unallocated",C68=""),"Missing code",IF(AND(D68&lt;&gt;"Unallocated",F68=""),"Missing code evidence",IF(NOT(ISNUMBER(E68)),"Missing allocation share",IF(OR(E68&lt;0,E68&gt;1),"Invalid allocation share",IF(ABS(SUMIF($B$7:$B$106,B68,$E$7:$E$106)-1)&gt;0.000000001,"Line shares must total 1","")))))))))</x:f>
      </x:c>
    </x:row>
    <x:row r="69" ht="26" customHeight="1">
      <x:c r="A69" s="16"/>
      <x:c r="B69" s="16"/>
      <x:c r="C69" s="16"/>
      <x:c r="D69" s="16"/>
      <x:c r="E69" s="11"/>
      <x:c r="F69" s="7"/>
      <x:c r="G69" s="15" t="str">
        <x:f>IF(OR(B69="",COUNTIF('Takeoff'!$A$7:$A$106,B69)&lt;&gt;1),"",IF(NOT(ISNUMBER(INDEX('Takeoff'!$O$7:$O$106,MATCH(B69,'Takeoff'!$A$7:$A$106,0)))),"",INDEX('Takeoff'!$O$7:$O$106,MATCH(B69,'Takeoff'!$A$7:$A$106,0))))</x:f>
      </x:c>
      <x:c r="H69" s="15" t="str">
        <x:f>IF(OR(A69="",I69&lt;&gt;""),"",G69*E69)</x:f>
      </x:c>
      <x:c r="I69" s="14" t="str">
        <x:f>IF(A69="","",IF(COUNTIF($A$7:$A$106,A69)&lt;&gt;1,"Duplicate allocation ID",IF(NOT(ISNUMBER(G69)),"Missing valid priced line",IF(AND(D69&lt;&gt;"Confirmed",D69&lt;&gt;"Provisional",D69&lt;&gt;"Unallocated"),"Missing coding state",IF(AND(D69&lt;&gt;"Unallocated",C69=""),"Missing code",IF(AND(D69&lt;&gt;"Unallocated",F69=""),"Missing code evidence",IF(NOT(ISNUMBER(E69)),"Missing allocation share",IF(OR(E69&lt;0,E69&gt;1),"Invalid allocation share",IF(ABS(SUMIF($B$7:$B$106,B69,$E$7:$E$106)-1)&gt;0.000000001,"Line shares must total 1","")))))))))</x:f>
      </x:c>
    </x:row>
    <x:row r="70" ht="26" customHeight="1">
      <x:c r="A70" s="16"/>
      <x:c r="B70" s="16"/>
      <x:c r="C70" s="16"/>
      <x:c r="D70" s="16"/>
      <x:c r="E70" s="11"/>
      <x:c r="F70" s="7"/>
      <x:c r="G70" s="15" t="str">
        <x:f>IF(OR(B70="",COUNTIF('Takeoff'!$A$7:$A$106,B70)&lt;&gt;1),"",IF(NOT(ISNUMBER(INDEX('Takeoff'!$O$7:$O$106,MATCH(B70,'Takeoff'!$A$7:$A$106,0)))),"",INDEX('Takeoff'!$O$7:$O$106,MATCH(B70,'Takeoff'!$A$7:$A$106,0))))</x:f>
      </x:c>
      <x:c r="H70" s="15" t="str">
        <x:f>IF(OR(A70="",I70&lt;&gt;""),"",G70*E70)</x:f>
      </x:c>
      <x:c r="I70" s="14" t="str">
        <x:f>IF(A70="","",IF(COUNTIF($A$7:$A$106,A70)&lt;&gt;1,"Duplicate allocation ID",IF(NOT(ISNUMBER(G70)),"Missing valid priced line",IF(AND(D70&lt;&gt;"Confirmed",D70&lt;&gt;"Provisional",D70&lt;&gt;"Unallocated"),"Missing coding state",IF(AND(D70&lt;&gt;"Unallocated",C70=""),"Missing code",IF(AND(D70&lt;&gt;"Unallocated",F70=""),"Missing code evidence",IF(NOT(ISNUMBER(E70)),"Missing allocation share",IF(OR(E70&lt;0,E70&gt;1),"Invalid allocation share",IF(ABS(SUMIF($B$7:$B$106,B70,$E$7:$E$106)-1)&gt;0.000000001,"Line shares must total 1","")))))))))</x:f>
      </x:c>
    </x:row>
    <x:row r="71" ht="26" customHeight="1">
      <x:c r="A71" s="16"/>
      <x:c r="B71" s="16"/>
      <x:c r="C71" s="16"/>
      <x:c r="D71" s="16"/>
      <x:c r="E71" s="11"/>
      <x:c r="F71" s="7"/>
      <x:c r="G71" s="15" t="str">
        <x:f>IF(OR(B71="",COUNTIF('Takeoff'!$A$7:$A$106,B71)&lt;&gt;1),"",IF(NOT(ISNUMBER(INDEX('Takeoff'!$O$7:$O$106,MATCH(B71,'Takeoff'!$A$7:$A$106,0)))),"",INDEX('Takeoff'!$O$7:$O$106,MATCH(B71,'Takeoff'!$A$7:$A$106,0))))</x:f>
      </x:c>
      <x:c r="H71" s="15" t="str">
        <x:f>IF(OR(A71="",I71&lt;&gt;""),"",G71*E71)</x:f>
      </x:c>
      <x:c r="I71" s="14" t="str">
        <x:f>IF(A71="","",IF(COUNTIF($A$7:$A$106,A71)&lt;&gt;1,"Duplicate allocation ID",IF(NOT(ISNUMBER(G71)),"Missing valid priced line",IF(AND(D71&lt;&gt;"Confirmed",D71&lt;&gt;"Provisional",D71&lt;&gt;"Unallocated"),"Missing coding state",IF(AND(D71&lt;&gt;"Unallocated",C71=""),"Missing code",IF(AND(D71&lt;&gt;"Unallocated",F71=""),"Missing code evidence",IF(NOT(ISNUMBER(E71)),"Missing allocation share",IF(OR(E71&lt;0,E71&gt;1),"Invalid allocation share",IF(ABS(SUMIF($B$7:$B$106,B71,$E$7:$E$106)-1)&gt;0.000000001,"Line shares must total 1","")))))))))</x:f>
      </x:c>
    </x:row>
    <x:row r="72" ht="26" customHeight="1">
      <x:c r="A72" s="16"/>
      <x:c r="B72" s="16"/>
      <x:c r="C72" s="16"/>
      <x:c r="D72" s="16"/>
      <x:c r="E72" s="11"/>
      <x:c r="F72" s="7"/>
      <x:c r="G72" s="15" t="str">
        <x:f>IF(OR(B72="",COUNTIF('Takeoff'!$A$7:$A$106,B72)&lt;&gt;1),"",IF(NOT(ISNUMBER(INDEX('Takeoff'!$O$7:$O$106,MATCH(B72,'Takeoff'!$A$7:$A$106,0)))),"",INDEX('Takeoff'!$O$7:$O$106,MATCH(B72,'Takeoff'!$A$7:$A$106,0))))</x:f>
      </x:c>
      <x:c r="H72" s="15" t="str">
        <x:f>IF(OR(A72="",I72&lt;&gt;""),"",G72*E72)</x:f>
      </x:c>
      <x:c r="I72" s="14" t="str">
        <x:f>IF(A72="","",IF(COUNTIF($A$7:$A$106,A72)&lt;&gt;1,"Duplicate allocation ID",IF(NOT(ISNUMBER(G72)),"Missing valid priced line",IF(AND(D72&lt;&gt;"Confirmed",D72&lt;&gt;"Provisional",D72&lt;&gt;"Unallocated"),"Missing coding state",IF(AND(D72&lt;&gt;"Unallocated",C72=""),"Missing code",IF(AND(D72&lt;&gt;"Unallocated",F72=""),"Missing code evidence",IF(NOT(ISNUMBER(E72)),"Missing allocation share",IF(OR(E72&lt;0,E72&gt;1),"Invalid allocation share",IF(ABS(SUMIF($B$7:$B$106,B72,$E$7:$E$106)-1)&gt;0.000000001,"Line shares must total 1","")))))))))</x:f>
      </x:c>
    </x:row>
    <x:row r="73" ht="26" customHeight="1">
      <x:c r="A73" s="16"/>
      <x:c r="B73" s="16"/>
      <x:c r="C73" s="16"/>
      <x:c r="D73" s="16"/>
      <x:c r="E73" s="11"/>
      <x:c r="F73" s="7"/>
      <x:c r="G73" s="15" t="str">
        <x:f>IF(OR(B73="",COUNTIF('Takeoff'!$A$7:$A$106,B73)&lt;&gt;1),"",IF(NOT(ISNUMBER(INDEX('Takeoff'!$O$7:$O$106,MATCH(B73,'Takeoff'!$A$7:$A$106,0)))),"",INDEX('Takeoff'!$O$7:$O$106,MATCH(B73,'Takeoff'!$A$7:$A$106,0))))</x:f>
      </x:c>
      <x:c r="H73" s="15" t="str">
        <x:f>IF(OR(A73="",I73&lt;&gt;""),"",G73*E73)</x:f>
      </x:c>
      <x:c r="I73" s="14" t="str">
        <x:f>IF(A73="","",IF(COUNTIF($A$7:$A$106,A73)&lt;&gt;1,"Duplicate allocation ID",IF(NOT(ISNUMBER(G73)),"Missing valid priced line",IF(AND(D73&lt;&gt;"Confirmed",D73&lt;&gt;"Provisional",D73&lt;&gt;"Unallocated"),"Missing coding state",IF(AND(D73&lt;&gt;"Unallocated",C73=""),"Missing code",IF(AND(D73&lt;&gt;"Unallocated",F73=""),"Missing code evidence",IF(NOT(ISNUMBER(E73)),"Missing allocation share",IF(OR(E73&lt;0,E73&gt;1),"Invalid allocation share",IF(ABS(SUMIF($B$7:$B$106,B73,$E$7:$E$106)-1)&gt;0.000000001,"Line shares must total 1","")))))))))</x:f>
      </x:c>
    </x:row>
    <x:row r="74" ht="26" customHeight="1">
      <x:c r="A74" s="16"/>
      <x:c r="B74" s="16"/>
      <x:c r="C74" s="16"/>
      <x:c r="D74" s="16"/>
      <x:c r="E74" s="11"/>
      <x:c r="F74" s="7"/>
      <x:c r="G74" s="15" t="str">
        <x:f>IF(OR(B74="",COUNTIF('Takeoff'!$A$7:$A$106,B74)&lt;&gt;1),"",IF(NOT(ISNUMBER(INDEX('Takeoff'!$O$7:$O$106,MATCH(B74,'Takeoff'!$A$7:$A$106,0)))),"",INDEX('Takeoff'!$O$7:$O$106,MATCH(B74,'Takeoff'!$A$7:$A$106,0))))</x:f>
      </x:c>
      <x:c r="H74" s="15" t="str">
        <x:f>IF(OR(A74="",I74&lt;&gt;""),"",G74*E74)</x:f>
      </x:c>
      <x:c r="I74" s="14" t="str">
        <x:f>IF(A74="","",IF(COUNTIF($A$7:$A$106,A74)&lt;&gt;1,"Duplicate allocation ID",IF(NOT(ISNUMBER(G74)),"Missing valid priced line",IF(AND(D74&lt;&gt;"Confirmed",D74&lt;&gt;"Provisional",D74&lt;&gt;"Unallocated"),"Missing coding state",IF(AND(D74&lt;&gt;"Unallocated",C74=""),"Missing code",IF(AND(D74&lt;&gt;"Unallocated",F74=""),"Missing code evidence",IF(NOT(ISNUMBER(E74)),"Missing allocation share",IF(OR(E74&lt;0,E74&gt;1),"Invalid allocation share",IF(ABS(SUMIF($B$7:$B$106,B74,$E$7:$E$106)-1)&gt;0.000000001,"Line shares must total 1","")))))))))</x:f>
      </x:c>
    </x:row>
    <x:row r="75" ht="26" customHeight="1">
      <x:c r="A75" s="16"/>
      <x:c r="B75" s="16"/>
      <x:c r="C75" s="16"/>
      <x:c r="D75" s="16"/>
      <x:c r="E75" s="11"/>
      <x:c r="F75" s="7"/>
      <x:c r="G75" s="15" t="str">
        <x:f>IF(OR(B75="",COUNTIF('Takeoff'!$A$7:$A$106,B75)&lt;&gt;1),"",IF(NOT(ISNUMBER(INDEX('Takeoff'!$O$7:$O$106,MATCH(B75,'Takeoff'!$A$7:$A$106,0)))),"",INDEX('Takeoff'!$O$7:$O$106,MATCH(B75,'Takeoff'!$A$7:$A$106,0))))</x:f>
      </x:c>
      <x:c r="H75" s="15" t="str">
        <x:f>IF(OR(A75="",I75&lt;&gt;""),"",G75*E75)</x:f>
      </x:c>
      <x:c r="I75" s="14" t="str">
        <x:f>IF(A75="","",IF(COUNTIF($A$7:$A$106,A75)&lt;&gt;1,"Duplicate allocation ID",IF(NOT(ISNUMBER(G75)),"Missing valid priced line",IF(AND(D75&lt;&gt;"Confirmed",D75&lt;&gt;"Provisional",D75&lt;&gt;"Unallocated"),"Missing coding state",IF(AND(D75&lt;&gt;"Unallocated",C75=""),"Missing code",IF(AND(D75&lt;&gt;"Unallocated",F75=""),"Missing code evidence",IF(NOT(ISNUMBER(E75)),"Missing allocation share",IF(OR(E75&lt;0,E75&gt;1),"Invalid allocation share",IF(ABS(SUMIF($B$7:$B$106,B75,$E$7:$E$106)-1)&gt;0.000000001,"Line shares must total 1","")))))))))</x:f>
      </x:c>
    </x:row>
    <x:row r="76" ht="26" customHeight="1">
      <x:c r="A76" s="16"/>
      <x:c r="B76" s="16"/>
      <x:c r="C76" s="16"/>
      <x:c r="D76" s="16"/>
      <x:c r="E76" s="11"/>
      <x:c r="F76" s="7"/>
      <x:c r="G76" s="15" t="str">
        <x:f>IF(OR(B76="",COUNTIF('Takeoff'!$A$7:$A$106,B76)&lt;&gt;1),"",IF(NOT(ISNUMBER(INDEX('Takeoff'!$O$7:$O$106,MATCH(B76,'Takeoff'!$A$7:$A$106,0)))),"",INDEX('Takeoff'!$O$7:$O$106,MATCH(B76,'Takeoff'!$A$7:$A$106,0))))</x:f>
      </x:c>
      <x:c r="H76" s="15" t="str">
        <x:f>IF(OR(A76="",I76&lt;&gt;""),"",G76*E76)</x:f>
      </x:c>
      <x:c r="I76" s="14" t="str">
        <x:f>IF(A76="","",IF(COUNTIF($A$7:$A$106,A76)&lt;&gt;1,"Duplicate allocation ID",IF(NOT(ISNUMBER(G76)),"Missing valid priced line",IF(AND(D76&lt;&gt;"Confirmed",D76&lt;&gt;"Provisional",D76&lt;&gt;"Unallocated"),"Missing coding state",IF(AND(D76&lt;&gt;"Unallocated",C76=""),"Missing code",IF(AND(D76&lt;&gt;"Unallocated",F76=""),"Missing code evidence",IF(NOT(ISNUMBER(E76)),"Missing allocation share",IF(OR(E76&lt;0,E76&gt;1),"Invalid allocation share",IF(ABS(SUMIF($B$7:$B$106,B76,$E$7:$E$106)-1)&gt;0.000000001,"Line shares must total 1","")))))))))</x:f>
      </x:c>
    </x:row>
    <x:row r="77" ht="26" customHeight="1">
      <x:c r="A77" s="16"/>
      <x:c r="B77" s="16"/>
      <x:c r="C77" s="16"/>
      <x:c r="D77" s="16"/>
      <x:c r="E77" s="11"/>
      <x:c r="F77" s="7"/>
      <x:c r="G77" s="15" t="str">
        <x:f>IF(OR(B77="",COUNTIF('Takeoff'!$A$7:$A$106,B77)&lt;&gt;1),"",IF(NOT(ISNUMBER(INDEX('Takeoff'!$O$7:$O$106,MATCH(B77,'Takeoff'!$A$7:$A$106,0)))),"",INDEX('Takeoff'!$O$7:$O$106,MATCH(B77,'Takeoff'!$A$7:$A$106,0))))</x:f>
      </x:c>
      <x:c r="H77" s="15" t="str">
        <x:f>IF(OR(A77="",I77&lt;&gt;""),"",G77*E77)</x:f>
      </x:c>
      <x:c r="I77" s="14" t="str">
        <x:f>IF(A77="","",IF(COUNTIF($A$7:$A$106,A77)&lt;&gt;1,"Duplicate allocation ID",IF(NOT(ISNUMBER(G77)),"Missing valid priced line",IF(AND(D77&lt;&gt;"Confirmed",D77&lt;&gt;"Provisional",D77&lt;&gt;"Unallocated"),"Missing coding state",IF(AND(D77&lt;&gt;"Unallocated",C77=""),"Missing code",IF(AND(D77&lt;&gt;"Unallocated",F77=""),"Missing code evidence",IF(NOT(ISNUMBER(E77)),"Missing allocation share",IF(OR(E77&lt;0,E77&gt;1),"Invalid allocation share",IF(ABS(SUMIF($B$7:$B$106,B77,$E$7:$E$106)-1)&gt;0.000000001,"Line shares must total 1","")))))))))</x:f>
      </x:c>
    </x:row>
    <x:row r="78" ht="26" customHeight="1">
      <x:c r="A78" s="16"/>
      <x:c r="B78" s="16"/>
      <x:c r="C78" s="16"/>
      <x:c r="D78" s="16"/>
      <x:c r="E78" s="11"/>
      <x:c r="F78" s="7"/>
      <x:c r="G78" s="15" t="str">
        <x:f>IF(OR(B78="",COUNTIF('Takeoff'!$A$7:$A$106,B78)&lt;&gt;1),"",IF(NOT(ISNUMBER(INDEX('Takeoff'!$O$7:$O$106,MATCH(B78,'Takeoff'!$A$7:$A$106,0)))),"",INDEX('Takeoff'!$O$7:$O$106,MATCH(B78,'Takeoff'!$A$7:$A$106,0))))</x:f>
      </x:c>
      <x:c r="H78" s="15" t="str">
        <x:f>IF(OR(A78="",I78&lt;&gt;""),"",G78*E78)</x:f>
      </x:c>
      <x:c r="I78" s="14" t="str">
        <x:f>IF(A78="","",IF(COUNTIF($A$7:$A$106,A78)&lt;&gt;1,"Duplicate allocation ID",IF(NOT(ISNUMBER(G78)),"Missing valid priced line",IF(AND(D78&lt;&gt;"Confirmed",D78&lt;&gt;"Provisional",D78&lt;&gt;"Unallocated"),"Missing coding state",IF(AND(D78&lt;&gt;"Unallocated",C78=""),"Missing code",IF(AND(D78&lt;&gt;"Unallocated",F78=""),"Missing code evidence",IF(NOT(ISNUMBER(E78)),"Missing allocation share",IF(OR(E78&lt;0,E78&gt;1),"Invalid allocation share",IF(ABS(SUMIF($B$7:$B$106,B78,$E$7:$E$106)-1)&gt;0.000000001,"Line shares must total 1","")))))))))</x:f>
      </x:c>
    </x:row>
    <x:row r="79" ht="26" customHeight="1">
      <x:c r="A79" s="16"/>
      <x:c r="B79" s="16"/>
      <x:c r="C79" s="16"/>
      <x:c r="D79" s="16"/>
      <x:c r="E79" s="11"/>
      <x:c r="F79" s="7"/>
      <x:c r="G79" s="15" t="str">
        <x:f>IF(OR(B79="",COUNTIF('Takeoff'!$A$7:$A$106,B79)&lt;&gt;1),"",IF(NOT(ISNUMBER(INDEX('Takeoff'!$O$7:$O$106,MATCH(B79,'Takeoff'!$A$7:$A$106,0)))),"",INDEX('Takeoff'!$O$7:$O$106,MATCH(B79,'Takeoff'!$A$7:$A$106,0))))</x:f>
      </x:c>
      <x:c r="H79" s="15" t="str">
        <x:f>IF(OR(A79="",I79&lt;&gt;""),"",G79*E79)</x:f>
      </x:c>
      <x:c r="I79" s="14" t="str">
        <x:f>IF(A79="","",IF(COUNTIF($A$7:$A$106,A79)&lt;&gt;1,"Duplicate allocation ID",IF(NOT(ISNUMBER(G79)),"Missing valid priced line",IF(AND(D79&lt;&gt;"Confirmed",D79&lt;&gt;"Provisional",D79&lt;&gt;"Unallocated"),"Missing coding state",IF(AND(D79&lt;&gt;"Unallocated",C79=""),"Missing code",IF(AND(D79&lt;&gt;"Unallocated",F79=""),"Missing code evidence",IF(NOT(ISNUMBER(E79)),"Missing allocation share",IF(OR(E79&lt;0,E79&gt;1),"Invalid allocation share",IF(ABS(SUMIF($B$7:$B$106,B79,$E$7:$E$106)-1)&gt;0.000000001,"Line shares must total 1","")))))))))</x:f>
      </x:c>
    </x:row>
    <x:row r="80" ht="26" customHeight="1">
      <x:c r="A80" s="16"/>
      <x:c r="B80" s="16"/>
      <x:c r="C80" s="16"/>
      <x:c r="D80" s="16"/>
      <x:c r="E80" s="11"/>
      <x:c r="F80" s="7"/>
      <x:c r="G80" s="15" t="str">
        <x:f>IF(OR(B80="",COUNTIF('Takeoff'!$A$7:$A$106,B80)&lt;&gt;1),"",IF(NOT(ISNUMBER(INDEX('Takeoff'!$O$7:$O$106,MATCH(B80,'Takeoff'!$A$7:$A$106,0)))),"",INDEX('Takeoff'!$O$7:$O$106,MATCH(B80,'Takeoff'!$A$7:$A$106,0))))</x:f>
      </x:c>
      <x:c r="H80" s="15" t="str">
        <x:f>IF(OR(A80="",I80&lt;&gt;""),"",G80*E80)</x:f>
      </x:c>
      <x:c r="I80" s="14" t="str">
        <x:f>IF(A80="","",IF(COUNTIF($A$7:$A$106,A80)&lt;&gt;1,"Duplicate allocation ID",IF(NOT(ISNUMBER(G80)),"Missing valid priced line",IF(AND(D80&lt;&gt;"Confirmed",D80&lt;&gt;"Provisional",D80&lt;&gt;"Unallocated"),"Missing coding state",IF(AND(D80&lt;&gt;"Unallocated",C80=""),"Missing code",IF(AND(D80&lt;&gt;"Unallocated",F80=""),"Missing code evidence",IF(NOT(ISNUMBER(E80)),"Missing allocation share",IF(OR(E80&lt;0,E80&gt;1),"Invalid allocation share",IF(ABS(SUMIF($B$7:$B$106,B80,$E$7:$E$106)-1)&gt;0.000000001,"Line shares must total 1","")))))))))</x:f>
      </x:c>
    </x:row>
    <x:row r="81" ht="26" customHeight="1">
      <x:c r="A81" s="16"/>
      <x:c r="B81" s="16"/>
      <x:c r="C81" s="16"/>
      <x:c r="D81" s="16"/>
      <x:c r="E81" s="11"/>
      <x:c r="F81" s="7"/>
      <x:c r="G81" s="15" t="str">
        <x:f>IF(OR(B81="",COUNTIF('Takeoff'!$A$7:$A$106,B81)&lt;&gt;1),"",IF(NOT(ISNUMBER(INDEX('Takeoff'!$O$7:$O$106,MATCH(B81,'Takeoff'!$A$7:$A$106,0)))),"",INDEX('Takeoff'!$O$7:$O$106,MATCH(B81,'Takeoff'!$A$7:$A$106,0))))</x:f>
      </x:c>
      <x:c r="H81" s="15" t="str">
        <x:f>IF(OR(A81="",I81&lt;&gt;""),"",G81*E81)</x:f>
      </x:c>
      <x:c r="I81" s="14" t="str">
        <x:f>IF(A81="","",IF(COUNTIF($A$7:$A$106,A81)&lt;&gt;1,"Duplicate allocation ID",IF(NOT(ISNUMBER(G81)),"Missing valid priced line",IF(AND(D81&lt;&gt;"Confirmed",D81&lt;&gt;"Provisional",D81&lt;&gt;"Unallocated"),"Missing coding state",IF(AND(D81&lt;&gt;"Unallocated",C81=""),"Missing code",IF(AND(D81&lt;&gt;"Unallocated",F81=""),"Missing code evidence",IF(NOT(ISNUMBER(E81)),"Missing allocation share",IF(OR(E81&lt;0,E81&gt;1),"Invalid allocation share",IF(ABS(SUMIF($B$7:$B$106,B81,$E$7:$E$106)-1)&gt;0.000000001,"Line shares must total 1","")))))))))</x:f>
      </x:c>
    </x:row>
    <x:row r="82" ht="26" customHeight="1">
      <x:c r="A82" s="16"/>
      <x:c r="B82" s="16"/>
      <x:c r="C82" s="16"/>
      <x:c r="D82" s="16"/>
      <x:c r="E82" s="11"/>
      <x:c r="F82" s="7"/>
      <x:c r="G82" s="15" t="str">
        <x:f>IF(OR(B82="",COUNTIF('Takeoff'!$A$7:$A$106,B82)&lt;&gt;1),"",IF(NOT(ISNUMBER(INDEX('Takeoff'!$O$7:$O$106,MATCH(B82,'Takeoff'!$A$7:$A$106,0)))),"",INDEX('Takeoff'!$O$7:$O$106,MATCH(B82,'Takeoff'!$A$7:$A$106,0))))</x:f>
      </x:c>
      <x:c r="H82" s="15" t="str">
        <x:f>IF(OR(A82="",I82&lt;&gt;""),"",G82*E82)</x:f>
      </x:c>
      <x:c r="I82" s="14" t="str">
        <x:f>IF(A82="","",IF(COUNTIF($A$7:$A$106,A82)&lt;&gt;1,"Duplicate allocation ID",IF(NOT(ISNUMBER(G82)),"Missing valid priced line",IF(AND(D82&lt;&gt;"Confirmed",D82&lt;&gt;"Provisional",D82&lt;&gt;"Unallocated"),"Missing coding state",IF(AND(D82&lt;&gt;"Unallocated",C82=""),"Missing code",IF(AND(D82&lt;&gt;"Unallocated",F82=""),"Missing code evidence",IF(NOT(ISNUMBER(E82)),"Missing allocation share",IF(OR(E82&lt;0,E82&gt;1),"Invalid allocation share",IF(ABS(SUMIF($B$7:$B$106,B82,$E$7:$E$106)-1)&gt;0.000000001,"Line shares must total 1","")))))))))</x:f>
      </x:c>
    </x:row>
    <x:row r="83" ht="26" customHeight="1">
      <x:c r="A83" s="16"/>
      <x:c r="B83" s="16"/>
      <x:c r="C83" s="16"/>
      <x:c r="D83" s="16"/>
      <x:c r="E83" s="11"/>
      <x:c r="F83" s="7"/>
      <x:c r="G83" s="15" t="str">
        <x:f>IF(OR(B83="",COUNTIF('Takeoff'!$A$7:$A$106,B83)&lt;&gt;1),"",IF(NOT(ISNUMBER(INDEX('Takeoff'!$O$7:$O$106,MATCH(B83,'Takeoff'!$A$7:$A$106,0)))),"",INDEX('Takeoff'!$O$7:$O$106,MATCH(B83,'Takeoff'!$A$7:$A$106,0))))</x:f>
      </x:c>
      <x:c r="H83" s="15" t="str">
        <x:f>IF(OR(A83="",I83&lt;&gt;""),"",G83*E83)</x:f>
      </x:c>
      <x:c r="I83" s="14" t="str">
        <x:f>IF(A83="","",IF(COUNTIF($A$7:$A$106,A83)&lt;&gt;1,"Duplicate allocation ID",IF(NOT(ISNUMBER(G83)),"Missing valid priced line",IF(AND(D83&lt;&gt;"Confirmed",D83&lt;&gt;"Provisional",D83&lt;&gt;"Unallocated"),"Missing coding state",IF(AND(D83&lt;&gt;"Unallocated",C83=""),"Missing code",IF(AND(D83&lt;&gt;"Unallocated",F83=""),"Missing code evidence",IF(NOT(ISNUMBER(E83)),"Missing allocation share",IF(OR(E83&lt;0,E83&gt;1),"Invalid allocation share",IF(ABS(SUMIF($B$7:$B$106,B83,$E$7:$E$106)-1)&gt;0.000000001,"Line shares must total 1","")))))))))</x:f>
      </x:c>
    </x:row>
    <x:row r="84" ht="26" customHeight="1">
      <x:c r="A84" s="16"/>
      <x:c r="B84" s="16"/>
      <x:c r="C84" s="16"/>
      <x:c r="D84" s="16"/>
      <x:c r="E84" s="11"/>
      <x:c r="F84" s="7"/>
      <x:c r="G84" s="15" t="str">
        <x:f>IF(OR(B84="",COUNTIF('Takeoff'!$A$7:$A$106,B84)&lt;&gt;1),"",IF(NOT(ISNUMBER(INDEX('Takeoff'!$O$7:$O$106,MATCH(B84,'Takeoff'!$A$7:$A$106,0)))),"",INDEX('Takeoff'!$O$7:$O$106,MATCH(B84,'Takeoff'!$A$7:$A$106,0))))</x:f>
      </x:c>
      <x:c r="H84" s="15" t="str">
        <x:f>IF(OR(A84="",I84&lt;&gt;""),"",G84*E84)</x:f>
      </x:c>
      <x:c r="I84" s="14" t="str">
        <x:f>IF(A84="","",IF(COUNTIF($A$7:$A$106,A84)&lt;&gt;1,"Duplicate allocation ID",IF(NOT(ISNUMBER(G84)),"Missing valid priced line",IF(AND(D84&lt;&gt;"Confirmed",D84&lt;&gt;"Provisional",D84&lt;&gt;"Unallocated"),"Missing coding state",IF(AND(D84&lt;&gt;"Unallocated",C84=""),"Missing code",IF(AND(D84&lt;&gt;"Unallocated",F84=""),"Missing code evidence",IF(NOT(ISNUMBER(E84)),"Missing allocation share",IF(OR(E84&lt;0,E84&gt;1),"Invalid allocation share",IF(ABS(SUMIF($B$7:$B$106,B84,$E$7:$E$106)-1)&gt;0.000000001,"Line shares must total 1","")))))))))</x:f>
      </x:c>
    </x:row>
    <x:row r="85" ht="26" customHeight="1">
      <x:c r="A85" s="16"/>
      <x:c r="B85" s="16"/>
      <x:c r="C85" s="16"/>
      <x:c r="D85" s="16"/>
      <x:c r="E85" s="11"/>
      <x:c r="F85" s="7"/>
      <x:c r="G85" s="15" t="str">
        <x:f>IF(OR(B85="",COUNTIF('Takeoff'!$A$7:$A$106,B85)&lt;&gt;1),"",IF(NOT(ISNUMBER(INDEX('Takeoff'!$O$7:$O$106,MATCH(B85,'Takeoff'!$A$7:$A$106,0)))),"",INDEX('Takeoff'!$O$7:$O$106,MATCH(B85,'Takeoff'!$A$7:$A$106,0))))</x:f>
      </x:c>
      <x:c r="H85" s="15" t="str">
        <x:f>IF(OR(A85="",I85&lt;&gt;""),"",G85*E85)</x:f>
      </x:c>
      <x:c r="I85" s="14" t="str">
        <x:f>IF(A85="","",IF(COUNTIF($A$7:$A$106,A85)&lt;&gt;1,"Duplicate allocation ID",IF(NOT(ISNUMBER(G85)),"Missing valid priced line",IF(AND(D85&lt;&gt;"Confirmed",D85&lt;&gt;"Provisional",D85&lt;&gt;"Unallocated"),"Missing coding state",IF(AND(D85&lt;&gt;"Unallocated",C85=""),"Missing code",IF(AND(D85&lt;&gt;"Unallocated",F85=""),"Missing code evidence",IF(NOT(ISNUMBER(E85)),"Missing allocation share",IF(OR(E85&lt;0,E85&gt;1),"Invalid allocation share",IF(ABS(SUMIF($B$7:$B$106,B85,$E$7:$E$106)-1)&gt;0.000000001,"Line shares must total 1","")))))))))</x:f>
      </x:c>
    </x:row>
    <x:row r="86" ht="26" customHeight="1">
      <x:c r="A86" s="16"/>
      <x:c r="B86" s="16"/>
      <x:c r="C86" s="16"/>
      <x:c r="D86" s="16"/>
      <x:c r="E86" s="11"/>
      <x:c r="F86" s="7"/>
      <x:c r="G86" s="15" t="str">
        <x:f>IF(OR(B86="",COUNTIF('Takeoff'!$A$7:$A$106,B86)&lt;&gt;1),"",IF(NOT(ISNUMBER(INDEX('Takeoff'!$O$7:$O$106,MATCH(B86,'Takeoff'!$A$7:$A$106,0)))),"",INDEX('Takeoff'!$O$7:$O$106,MATCH(B86,'Takeoff'!$A$7:$A$106,0))))</x:f>
      </x:c>
      <x:c r="H86" s="15" t="str">
        <x:f>IF(OR(A86="",I86&lt;&gt;""),"",G86*E86)</x:f>
      </x:c>
      <x:c r="I86" s="14" t="str">
        <x:f>IF(A86="","",IF(COUNTIF($A$7:$A$106,A86)&lt;&gt;1,"Duplicate allocation ID",IF(NOT(ISNUMBER(G86)),"Missing valid priced line",IF(AND(D86&lt;&gt;"Confirmed",D86&lt;&gt;"Provisional",D86&lt;&gt;"Unallocated"),"Missing coding state",IF(AND(D86&lt;&gt;"Unallocated",C86=""),"Missing code",IF(AND(D86&lt;&gt;"Unallocated",F86=""),"Missing code evidence",IF(NOT(ISNUMBER(E86)),"Missing allocation share",IF(OR(E86&lt;0,E86&gt;1),"Invalid allocation share",IF(ABS(SUMIF($B$7:$B$106,B86,$E$7:$E$106)-1)&gt;0.000000001,"Line shares must total 1","")))))))))</x:f>
      </x:c>
    </x:row>
    <x:row r="87" ht="26" customHeight="1">
      <x:c r="A87" s="16"/>
      <x:c r="B87" s="16"/>
      <x:c r="C87" s="16"/>
      <x:c r="D87" s="16"/>
      <x:c r="E87" s="11"/>
      <x:c r="F87" s="7"/>
      <x:c r="G87" s="15" t="str">
        <x:f>IF(OR(B87="",COUNTIF('Takeoff'!$A$7:$A$106,B87)&lt;&gt;1),"",IF(NOT(ISNUMBER(INDEX('Takeoff'!$O$7:$O$106,MATCH(B87,'Takeoff'!$A$7:$A$106,0)))),"",INDEX('Takeoff'!$O$7:$O$106,MATCH(B87,'Takeoff'!$A$7:$A$106,0))))</x:f>
      </x:c>
      <x:c r="H87" s="15" t="str">
        <x:f>IF(OR(A87="",I87&lt;&gt;""),"",G87*E87)</x:f>
      </x:c>
      <x:c r="I87" s="14" t="str">
        <x:f>IF(A87="","",IF(COUNTIF($A$7:$A$106,A87)&lt;&gt;1,"Duplicate allocation ID",IF(NOT(ISNUMBER(G87)),"Missing valid priced line",IF(AND(D87&lt;&gt;"Confirmed",D87&lt;&gt;"Provisional",D87&lt;&gt;"Unallocated"),"Missing coding state",IF(AND(D87&lt;&gt;"Unallocated",C87=""),"Missing code",IF(AND(D87&lt;&gt;"Unallocated",F87=""),"Missing code evidence",IF(NOT(ISNUMBER(E87)),"Missing allocation share",IF(OR(E87&lt;0,E87&gt;1),"Invalid allocation share",IF(ABS(SUMIF($B$7:$B$106,B87,$E$7:$E$106)-1)&gt;0.000000001,"Line shares must total 1","")))))))))</x:f>
      </x:c>
    </x:row>
    <x:row r="88" ht="26" customHeight="1">
      <x:c r="A88" s="16"/>
      <x:c r="B88" s="16"/>
      <x:c r="C88" s="16"/>
      <x:c r="D88" s="16"/>
      <x:c r="E88" s="11"/>
      <x:c r="F88" s="7"/>
      <x:c r="G88" s="15" t="str">
        <x:f>IF(OR(B88="",COUNTIF('Takeoff'!$A$7:$A$106,B88)&lt;&gt;1),"",IF(NOT(ISNUMBER(INDEX('Takeoff'!$O$7:$O$106,MATCH(B88,'Takeoff'!$A$7:$A$106,0)))),"",INDEX('Takeoff'!$O$7:$O$106,MATCH(B88,'Takeoff'!$A$7:$A$106,0))))</x:f>
      </x:c>
      <x:c r="H88" s="15" t="str">
        <x:f>IF(OR(A88="",I88&lt;&gt;""),"",G88*E88)</x:f>
      </x:c>
      <x:c r="I88" s="14" t="str">
        <x:f>IF(A88="","",IF(COUNTIF($A$7:$A$106,A88)&lt;&gt;1,"Duplicate allocation ID",IF(NOT(ISNUMBER(G88)),"Missing valid priced line",IF(AND(D88&lt;&gt;"Confirmed",D88&lt;&gt;"Provisional",D88&lt;&gt;"Unallocated"),"Missing coding state",IF(AND(D88&lt;&gt;"Unallocated",C88=""),"Missing code",IF(AND(D88&lt;&gt;"Unallocated",F88=""),"Missing code evidence",IF(NOT(ISNUMBER(E88)),"Missing allocation share",IF(OR(E88&lt;0,E88&gt;1),"Invalid allocation share",IF(ABS(SUMIF($B$7:$B$106,B88,$E$7:$E$106)-1)&gt;0.000000001,"Line shares must total 1","")))))))))</x:f>
      </x:c>
    </x:row>
    <x:row r="89" ht="26" customHeight="1">
      <x:c r="A89" s="16"/>
      <x:c r="B89" s="16"/>
      <x:c r="C89" s="16"/>
      <x:c r="D89" s="16"/>
      <x:c r="E89" s="11"/>
      <x:c r="F89" s="7"/>
      <x:c r="G89" s="15" t="str">
        <x:f>IF(OR(B89="",COUNTIF('Takeoff'!$A$7:$A$106,B89)&lt;&gt;1),"",IF(NOT(ISNUMBER(INDEX('Takeoff'!$O$7:$O$106,MATCH(B89,'Takeoff'!$A$7:$A$106,0)))),"",INDEX('Takeoff'!$O$7:$O$106,MATCH(B89,'Takeoff'!$A$7:$A$106,0))))</x:f>
      </x:c>
      <x:c r="H89" s="15" t="str">
        <x:f>IF(OR(A89="",I89&lt;&gt;""),"",G89*E89)</x:f>
      </x:c>
      <x:c r="I89" s="14" t="str">
        <x:f>IF(A89="","",IF(COUNTIF($A$7:$A$106,A89)&lt;&gt;1,"Duplicate allocation ID",IF(NOT(ISNUMBER(G89)),"Missing valid priced line",IF(AND(D89&lt;&gt;"Confirmed",D89&lt;&gt;"Provisional",D89&lt;&gt;"Unallocated"),"Missing coding state",IF(AND(D89&lt;&gt;"Unallocated",C89=""),"Missing code",IF(AND(D89&lt;&gt;"Unallocated",F89=""),"Missing code evidence",IF(NOT(ISNUMBER(E89)),"Missing allocation share",IF(OR(E89&lt;0,E89&gt;1),"Invalid allocation share",IF(ABS(SUMIF($B$7:$B$106,B89,$E$7:$E$106)-1)&gt;0.000000001,"Line shares must total 1","")))))))))</x:f>
      </x:c>
    </x:row>
    <x:row r="90" ht="26" customHeight="1">
      <x:c r="A90" s="16"/>
      <x:c r="B90" s="16"/>
      <x:c r="C90" s="16"/>
      <x:c r="D90" s="16"/>
      <x:c r="E90" s="11"/>
      <x:c r="F90" s="7"/>
      <x:c r="G90" s="15" t="str">
        <x:f>IF(OR(B90="",COUNTIF('Takeoff'!$A$7:$A$106,B90)&lt;&gt;1),"",IF(NOT(ISNUMBER(INDEX('Takeoff'!$O$7:$O$106,MATCH(B90,'Takeoff'!$A$7:$A$106,0)))),"",INDEX('Takeoff'!$O$7:$O$106,MATCH(B90,'Takeoff'!$A$7:$A$106,0))))</x:f>
      </x:c>
      <x:c r="H90" s="15" t="str">
        <x:f>IF(OR(A90="",I90&lt;&gt;""),"",G90*E90)</x:f>
      </x:c>
      <x:c r="I90" s="14" t="str">
        <x:f>IF(A90="","",IF(COUNTIF($A$7:$A$106,A90)&lt;&gt;1,"Duplicate allocation ID",IF(NOT(ISNUMBER(G90)),"Missing valid priced line",IF(AND(D90&lt;&gt;"Confirmed",D90&lt;&gt;"Provisional",D90&lt;&gt;"Unallocated"),"Missing coding state",IF(AND(D90&lt;&gt;"Unallocated",C90=""),"Missing code",IF(AND(D90&lt;&gt;"Unallocated",F90=""),"Missing code evidence",IF(NOT(ISNUMBER(E90)),"Missing allocation share",IF(OR(E90&lt;0,E90&gt;1),"Invalid allocation share",IF(ABS(SUMIF($B$7:$B$106,B90,$E$7:$E$106)-1)&gt;0.000000001,"Line shares must total 1","")))))))))</x:f>
      </x:c>
    </x:row>
    <x:row r="91" ht="26" customHeight="1">
      <x:c r="A91" s="16"/>
      <x:c r="B91" s="16"/>
      <x:c r="C91" s="16"/>
      <x:c r="D91" s="16"/>
      <x:c r="E91" s="11"/>
      <x:c r="F91" s="7"/>
      <x:c r="G91" s="15" t="str">
        <x:f>IF(OR(B91="",COUNTIF('Takeoff'!$A$7:$A$106,B91)&lt;&gt;1),"",IF(NOT(ISNUMBER(INDEX('Takeoff'!$O$7:$O$106,MATCH(B91,'Takeoff'!$A$7:$A$106,0)))),"",INDEX('Takeoff'!$O$7:$O$106,MATCH(B91,'Takeoff'!$A$7:$A$106,0))))</x:f>
      </x:c>
      <x:c r="H91" s="15" t="str">
        <x:f>IF(OR(A91="",I91&lt;&gt;""),"",G91*E91)</x:f>
      </x:c>
      <x:c r="I91" s="14" t="str">
        <x:f>IF(A91="","",IF(COUNTIF($A$7:$A$106,A91)&lt;&gt;1,"Duplicate allocation ID",IF(NOT(ISNUMBER(G91)),"Missing valid priced line",IF(AND(D91&lt;&gt;"Confirmed",D91&lt;&gt;"Provisional",D91&lt;&gt;"Unallocated"),"Missing coding state",IF(AND(D91&lt;&gt;"Unallocated",C91=""),"Missing code",IF(AND(D91&lt;&gt;"Unallocated",F91=""),"Missing code evidence",IF(NOT(ISNUMBER(E91)),"Missing allocation share",IF(OR(E91&lt;0,E91&gt;1),"Invalid allocation share",IF(ABS(SUMIF($B$7:$B$106,B91,$E$7:$E$106)-1)&gt;0.000000001,"Line shares must total 1","")))))))))</x:f>
      </x:c>
    </x:row>
    <x:row r="92" ht="26" customHeight="1">
      <x:c r="A92" s="16"/>
      <x:c r="B92" s="16"/>
      <x:c r="C92" s="16"/>
      <x:c r="D92" s="16"/>
      <x:c r="E92" s="11"/>
      <x:c r="F92" s="7"/>
      <x:c r="G92" s="15" t="str">
        <x:f>IF(OR(B92="",COUNTIF('Takeoff'!$A$7:$A$106,B92)&lt;&gt;1),"",IF(NOT(ISNUMBER(INDEX('Takeoff'!$O$7:$O$106,MATCH(B92,'Takeoff'!$A$7:$A$106,0)))),"",INDEX('Takeoff'!$O$7:$O$106,MATCH(B92,'Takeoff'!$A$7:$A$106,0))))</x:f>
      </x:c>
      <x:c r="H92" s="15" t="str">
        <x:f>IF(OR(A92="",I92&lt;&gt;""),"",G92*E92)</x:f>
      </x:c>
      <x:c r="I92" s="14" t="str">
        <x:f>IF(A92="","",IF(COUNTIF($A$7:$A$106,A92)&lt;&gt;1,"Duplicate allocation ID",IF(NOT(ISNUMBER(G92)),"Missing valid priced line",IF(AND(D92&lt;&gt;"Confirmed",D92&lt;&gt;"Provisional",D92&lt;&gt;"Unallocated"),"Missing coding state",IF(AND(D92&lt;&gt;"Unallocated",C92=""),"Missing code",IF(AND(D92&lt;&gt;"Unallocated",F92=""),"Missing code evidence",IF(NOT(ISNUMBER(E92)),"Missing allocation share",IF(OR(E92&lt;0,E92&gt;1),"Invalid allocation share",IF(ABS(SUMIF($B$7:$B$106,B92,$E$7:$E$106)-1)&gt;0.000000001,"Line shares must total 1","")))))))))</x:f>
      </x:c>
    </x:row>
    <x:row r="93" ht="26" customHeight="1">
      <x:c r="A93" s="16"/>
      <x:c r="B93" s="16"/>
      <x:c r="C93" s="16"/>
      <x:c r="D93" s="16"/>
      <x:c r="E93" s="11"/>
      <x:c r="F93" s="7"/>
      <x:c r="G93" s="15" t="str">
        <x:f>IF(OR(B93="",COUNTIF('Takeoff'!$A$7:$A$106,B93)&lt;&gt;1),"",IF(NOT(ISNUMBER(INDEX('Takeoff'!$O$7:$O$106,MATCH(B93,'Takeoff'!$A$7:$A$106,0)))),"",INDEX('Takeoff'!$O$7:$O$106,MATCH(B93,'Takeoff'!$A$7:$A$106,0))))</x:f>
      </x:c>
      <x:c r="H93" s="15" t="str">
        <x:f>IF(OR(A93="",I93&lt;&gt;""),"",G93*E93)</x:f>
      </x:c>
      <x:c r="I93" s="14" t="str">
        <x:f>IF(A93="","",IF(COUNTIF($A$7:$A$106,A93)&lt;&gt;1,"Duplicate allocation ID",IF(NOT(ISNUMBER(G93)),"Missing valid priced line",IF(AND(D93&lt;&gt;"Confirmed",D93&lt;&gt;"Provisional",D93&lt;&gt;"Unallocated"),"Missing coding state",IF(AND(D93&lt;&gt;"Unallocated",C93=""),"Missing code",IF(AND(D93&lt;&gt;"Unallocated",F93=""),"Missing code evidence",IF(NOT(ISNUMBER(E93)),"Missing allocation share",IF(OR(E93&lt;0,E93&gt;1),"Invalid allocation share",IF(ABS(SUMIF($B$7:$B$106,B93,$E$7:$E$106)-1)&gt;0.000000001,"Line shares must total 1","")))))))))</x:f>
      </x:c>
    </x:row>
    <x:row r="94" ht="26" customHeight="1">
      <x:c r="A94" s="16"/>
      <x:c r="B94" s="16"/>
      <x:c r="C94" s="16"/>
      <x:c r="D94" s="16"/>
      <x:c r="E94" s="11"/>
      <x:c r="F94" s="7"/>
      <x:c r="G94" s="15" t="str">
        <x:f>IF(OR(B94="",COUNTIF('Takeoff'!$A$7:$A$106,B94)&lt;&gt;1),"",IF(NOT(ISNUMBER(INDEX('Takeoff'!$O$7:$O$106,MATCH(B94,'Takeoff'!$A$7:$A$106,0)))),"",INDEX('Takeoff'!$O$7:$O$106,MATCH(B94,'Takeoff'!$A$7:$A$106,0))))</x:f>
      </x:c>
      <x:c r="H94" s="15" t="str">
        <x:f>IF(OR(A94="",I94&lt;&gt;""),"",G94*E94)</x:f>
      </x:c>
      <x:c r="I94" s="14" t="str">
        <x:f>IF(A94="","",IF(COUNTIF($A$7:$A$106,A94)&lt;&gt;1,"Duplicate allocation ID",IF(NOT(ISNUMBER(G94)),"Missing valid priced line",IF(AND(D94&lt;&gt;"Confirmed",D94&lt;&gt;"Provisional",D94&lt;&gt;"Unallocated"),"Missing coding state",IF(AND(D94&lt;&gt;"Unallocated",C94=""),"Missing code",IF(AND(D94&lt;&gt;"Unallocated",F94=""),"Missing code evidence",IF(NOT(ISNUMBER(E94)),"Missing allocation share",IF(OR(E94&lt;0,E94&gt;1),"Invalid allocation share",IF(ABS(SUMIF($B$7:$B$106,B94,$E$7:$E$106)-1)&gt;0.000000001,"Line shares must total 1","")))))))))</x:f>
      </x:c>
    </x:row>
    <x:row r="95" ht="26" customHeight="1">
      <x:c r="A95" s="16"/>
      <x:c r="B95" s="16"/>
      <x:c r="C95" s="16"/>
      <x:c r="D95" s="16"/>
      <x:c r="E95" s="11"/>
      <x:c r="F95" s="7"/>
      <x:c r="G95" s="15" t="str">
        <x:f>IF(OR(B95="",COUNTIF('Takeoff'!$A$7:$A$106,B95)&lt;&gt;1),"",IF(NOT(ISNUMBER(INDEX('Takeoff'!$O$7:$O$106,MATCH(B95,'Takeoff'!$A$7:$A$106,0)))),"",INDEX('Takeoff'!$O$7:$O$106,MATCH(B95,'Takeoff'!$A$7:$A$106,0))))</x:f>
      </x:c>
      <x:c r="H95" s="15" t="str">
        <x:f>IF(OR(A95="",I95&lt;&gt;""),"",G95*E95)</x:f>
      </x:c>
      <x:c r="I95" s="14" t="str">
        <x:f>IF(A95="","",IF(COUNTIF($A$7:$A$106,A95)&lt;&gt;1,"Duplicate allocation ID",IF(NOT(ISNUMBER(G95)),"Missing valid priced line",IF(AND(D95&lt;&gt;"Confirmed",D95&lt;&gt;"Provisional",D95&lt;&gt;"Unallocated"),"Missing coding state",IF(AND(D95&lt;&gt;"Unallocated",C95=""),"Missing code",IF(AND(D95&lt;&gt;"Unallocated",F95=""),"Missing code evidence",IF(NOT(ISNUMBER(E95)),"Missing allocation share",IF(OR(E95&lt;0,E95&gt;1),"Invalid allocation share",IF(ABS(SUMIF($B$7:$B$106,B95,$E$7:$E$106)-1)&gt;0.000000001,"Line shares must total 1","")))))))))</x:f>
      </x:c>
    </x:row>
    <x:row r="96" ht="26" customHeight="1">
      <x:c r="A96" s="16"/>
      <x:c r="B96" s="16"/>
      <x:c r="C96" s="16"/>
      <x:c r="D96" s="16"/>
      <x:c r="E96" s="11"/>
      <x:c r="F96" s="7"/>
      <x:c r="G96" s="15" t="str">
        <x:f>IF(OR(B96="",COUNTIF('Takeoff'!$A$7:$A$106,B96)&lt;&gt;1),"",IF(NOT(ISNUMBER(INDEX('Takeoff'!$O$7:$O$106,MATCH(B96,'Takeoff'!$A$7:$A$106,0)))),"",INDEX('Takeoff'!$O$7:$O$106,MATCH(B96,'Takeoff'!$A$7:$A$106,0))))</x:f>
      </x:c>
      <x:c r="H96" s="15" t="str">
        <x:f>IF(OR(A96="",I96&lt;&gt;""),"",G96*E96)</x:f>
      </x:c>
      <x:c r="I96" s="14" t="str">
        <x:f>IF(A96="","",IF(COUNTIF($A$7:$A$106,A96)&lt;&gt;1,"Duplicate allocation ID",IF(NOT(ISNUMBER(G96)),"Missing valid priced line",IF(AND(D96&lt;&gt;"Confirmed",D96&lt;&gt;"Provisional",D96&lt;&gt;"Unallocated"),"Missing coding state",IF(AND(D96&lt;&gt;"Unallocated",C96=""),"Missing code",IF(AND(D96&lt;&gt;"Unallocated",F96=""),"Missing code evidence",IF(NOT(ISNUMBER(E96)),"Missing allocation share",IF(OR(E96&lt;0,E96&gt;1),"Invalid allocation share",IF(ABS(SUMIF($B$7:$B$106,B96,$E$7:$E$106)-1)&gt;0.000000001,"Line shares must total 1","")))))))))</x:f>
      </x:c>
    </x:row>
    <x:row r="97" ht="26" customHeight="1">
      <x:c r="A97" s="16"/>
      <x:c r="B97" s="16"/>
      <x:c r="C97" s="16"/>
      <x:c r="D97" s="16"/>
      <x:c r="E97" s="11"/>
      <x:c r="F97" s="7"/>
      <x:c r="G97" s="15" t="str">
        <x:f>IF(OR(B97="",COUNTIF('Takeoff'!$A$7:$A$106,B97)&lt;&gt;1),"",IF(NOT(ISNUMBER(INDEX('Takeoff'!$O$7:$O$106,MATCH(B97,'Takeoff'!$A$7:$A$106,0)))),"",INDEX('Takeoff'!$O$7:$O$106,MATCH(B97,'Takeoff'!$A$7:$A$106,0))))</x:f>
      </x:c>
      <x:c r="H97" s="15" t="str">
        <x:f>IF(OR(A97="",I97&lt;&gt;""),"",G97*E97)</x:f>
      </x:c>
      <x:c r="I97" s="14" t="str">
        <x:f>IF(A97="","",IF(COUNTIF($A$7:$A$106,A97)&lt;&gt;1,"Duplicate allocation ID",IF(NOT(ISNUMBER(G97)),"Missing valid priced line",IF(AND(D97&lt;&gt;"Confirmed",D97&lt;&gt;"Provisional",D97&lt;&gt;"Unallocated"),"Missing coding state",IF(AND(D97&lt;&gt;"Unallocated",C97=""),"Missing code",IF(AND(D97&lt;&gt;"Unallocated",F97=""),"Missing code evidence",IF(NOT(ISNUMBER(E97)),"Missing allocation share",IF(OR(E97&lt;0,E97&gt;1),"Invalid allocation share",IF(ABS(SUMIF($B$7:$B$106,B97,$E$7:$E$106)-1)&gt;0.000000001,"Line shares must total 1","")))))))))</x:f>
      </x:c>
    </x:row>
    <x:row r="98" ht="26" customHeight="1">
      <x:c r="A98" s="16"/>
      <x:c r="B98" s="16"/>
      <x:c r="C98" s="16"/>
      <x:c r="D98" s="16"/>
      <x:c r="E98" s="11"/>
      <x:c r="F98" s="7"/>
      <x:c r="G98" s="15" t="str">
        <x:f>IF(OR(B98="",COUNTIF('Takeoff'!$A$7:$A$106,B98)&lt;&gt;1),"",IF(NOT(ISNUMBER(INDEX('Takeoff'!$O$7:$O$106,MATCH(B98,'Takeoff'!$A$7:$A$106,0)))),"",INDEX('Takeoff'!$O$7:$O$106,MATCH(B98,'Takeoff'!$A$7:$A$106,0))))</x:f>
      </x:c>
      <x:c r="H98" s="15" t="str">
        <x:f>IF(OR(A98="",I98&lt;&gt;""),"",G98*E98)</x:f>
      </x:c>
      <x:c r="I98" s="14" t="str">
        <x:f>IF(A98="","",IF(COUNTIF($A$7:$A$106,A98)&lt;&gt;1,"Duplicate allocation ID",IF(NOT(ISNUMBER(G98)),"Missing valid priced line",IF(AND(D98&lt;&gt;"Confirmed",D98&lt;&gt;"Provisional",D98&lt;&gt;"Unallocated"),"Missing coding state",IF(AND(D98&lt;&gt;"Unallocated",C98=""),"Missing code",IF(AND(D98&lt;&gt;"Unallocated",F98=""),"Missing code evidence",IF(NOT(ISNUMBER(E98)),"Missing allocation share",IF(OR(E98&lt;0,E98&gt;1),"Invalid allocation share",IF(ABS(SUMIF($B$7:$B$106,B98,$E$7:$E$106)-1)&gt;0.000000001,"Line shares must total 1","")))))))))</x:f>
      </x:c>
    </x:row>
    <x:row r="99" ht="26" customHeight="1">
      <x:c r="A99" s="16"/>
      <x:c r="B99" s="16"/>
      <x:c r="C99" s="16"/>
      <x:c r="D99" s="16"/>
      <x:c r="E99" s="11"/>
      <x:c r="F99" s="7"/>
      <x:c r="G99" s="15" t="str">
        <x:f>IF(OR(B99="",COUNTIF('Takeoff'!$A$7:$A$106,B99)&lt;&gt;1),"",IF(NOT(ISNUMBER(INDEX('Takeoff'!$O$7:$O$106,MATCH(B99,'Takeoff'!$A$7:$A$106,0)))),"",INDEX('Takeoff'!$O$7:$O$106,MATCH(B99,'Takeoff'!$A$7:$A$106,0))))</x:f>
      </x:c>
      <x:c r="H99" s="15" t="str">
        <x:f>IF(OR(A99="",I99&lt;&gt;""),"",G99*E99)</x:f>
      </x:c>
      <x:c r="I99" s="14" t="str">
        <x:f>IF(A99="","",IF(COUNTIF($A$7:$A$106,A99)&lt;&gt;1,"Duplicate allocation ID",IF(NOT(ISNUMBER(G99)),"Missing valid priced line",IF(AND(D99&lt;&gt;"Confirmed",D99&lt;&gt;"Provisional",D99&lt;&gt;"Unallocated"),"Missing coding state",IF(AND(D99&lt;&gt;"Unallocated",C99=""),"Missing code",IF(AND(D99&lt;&gt;"Unallocated",F99=""),"Missing code evidence",IF(NOT(ISNUMBER(E99)),"Missing allocation share",IF(OR(E99&lt;0,E99&gt;1),"Invalid allocation share",IF(ABS(SUMIF($B$7:$B$106,B99,$E$7:$E$106)-1)&gt;0.000000001,"Line shares must total 1","")))))))))</x:f>
      </x:c>
    </x:row>
    <x:row r="100" ht="26" customHeight="1">
      <x:c r="A100" s="16"/>
      <x:c r="B100" s="16"/>
      <x:c r="C100" s="16"/>
      <x:c r="D100" s="16"/>
      <x:c r="E100" s="11"/>
      <x:c r="F100" s="7"/>
      <x:c r="G100" s="15" t="str">
        <x:f>IF(OR(B100="",COUNTIF('Takeoff'!$A$7:$A$106,B100)&lt;&gt;1),"",IF(NOT(ISNUMBER(INDEX('Takeoff'!$O$7:$O$106,MATCH(B100,'Takeoff'!$A$7:$A$106,0)))),"",INDEX('Takeoff'!$O$7:$O$106,MATCH(B100,'Takeoff'!$A$7:$A$106,0))))</x:f>
      </x:c>
      <x:c r="H100" s="15" t="str">
        <x:f>IF(OR(A100="",I100&lt;&gt;""),"",G100*E100)</x:f>
      </x:c>
      <x:c r="I100" s="14" t="str">
        <x:f>IF(A100="","",IF(COUNTIF($A$7:$A$106,A100)&lt;&gt;1,"Duplicate allocation ID",IF(NOT(ISNUMBER(G100)),"Missing valid priced line",IF(AND(D100&lt;&gt;"Confirmed",D100&lt;&gt;"Provisional",D100&lt;&gt;"Unallocated"),"Missing coding state",IF(AND(D100&lt;&gt;"Unallocated",C100=""),"Missing code",IF(AND(D100&lt;&gt;"Unallocated",F100=""),"Missing code evidence",IF(NOT(ISNUMBER(E100)),"Missing allocation share",IF(OR(E100&lt;0,E100&gt;1),"Invalid allocation share",IF(ABS(SUMIF($B$7:$B$106,B100,$E$7:$E$106)-1)&gt;0.000000001,"Line shares must total 1","")))))))))</x:f>
      </x:c>
    </x:row>
    <x:row r="101" ht="26" customHeight="1">
      <x:c r="A101" s="16"/>
      <x:c r="B101" s="16"/>
      <x:c r="C101" s="16"/>
      <x:c r="D101" s="16"/>
      <x:c r="E101" s="11"/>
      <x:c r="F101" s="7"/>
      <x:c r="G101" s="15" t="str">
        <x:f>IF(OR(B101="",COUNTIF('Takeoff'!$A$7:$A$106,B101)&lt;&gt;1),"",IF(NOT(ISNUMBER(INDEX('Takeoff'!$O$7:$O$106,MATCH(B101,'Takeoff'!$A$7:$A$106,0)))),"",INDEX('Takeoff'!$O$7:$O$106,MATCH(B101,'Takeoff'!$A$7:$A$106,0))))</x:f>
      </x:c>
      <x:c r="H101" s="15" t="str">
        <x:f>IF(OR(A101="",I101&lt;&gt;""),"",G101*E101)</x:f>
      </x:c>
      <x:c r="I101" s="14" t="str">
        <x:f>IF(A101="","",IF(COUNTIF($A$7:$A$106,A101)&lt;&gt;1,"Duplicate allocation ID",IF(NOT(ISNUMBER(G101)),"Missing valid priced line",IF(AND(D101&lt;&gt;"Confirmed",D101&lt;&gt;"Provisional",D101&lt;&gt;"Unallocated"),"Missing coding state",IF(AND(D101&lt;&gt;"Unallocated",C101=""),"Missing code",IF(AND(D101&lt;&gt;"Unallocated",F101=""),"Missing code evidence",IF(NOT(ISNUMBER(E101)),"Missing allocation share",IF(OR(E101&lt;0,E101&gt;1),"Invalid allocation share",IF(ABS(SUMIF($B$7:$B$106,B101,$E$7:$E$106)-1)&gt;0.000000001,"Line shares must total 1","")))))))))</x:f>
      </x:c>
    </x:row>
    <x:row r="102" ht="26" customHeight="1">
      <x:c r="A102" s="16"/>
      <x:c r="B102" s="16"/>
      <x:c r="C102" s="16"/>
      <x:c r="D102" s="16"/>
      <x:c r="E102" s="11"/>
      <x:c r="F102" s="7"/>
      <x:c r="G102" s="15" t="str">
        <x:f>IF(OR(B102="",COUNTIF('Takeoff'!$A$7:$A$106,B102)&lt;&gt;1),"",IF(NOT(ISNUMBER(INDEX('Takeoff'!$O$7:$O$106,MATCH(B102,'Takeoff'!$A$7:$A$106,0)))),"",INDEX('Takeoff'!$O$7:$O$106,MATCH(B102,'Takeoff'!$A$7:$A$106,0))))</x:f>
      </x:c>
      <x:c r="H102" s="15" t="str">
        <x:f>IF(OR(A102="",I102&lt;&gt;""),"",G102*E102)</x:f>
      </x:c>
      <x:c r="I102" s="14" t="str">
        <x:f>IF(A102="","",IF(COUNTIF($A$7:$A$106,A102)&lt;&gt;1,"Duplicate allocation ID",IF(NOT(ISNUMBER(G102)),"Missing valid priced line",IF(AND(D102&lt;&gt;"Confirmed",D102&lt;&gt;"Provisional",D102&lt;&gt;"Unallocated"),"Missing coding state",IF(AND(D102&lt;&gt;"Unallocated",C102=""),"Missing code",IF(AND(D102&lt;&gt;"Unallocated",F102=""),"Missing code evidence",IF(NOT(ISNUMBER(E102)),"Missing allocation share",IF(OR(E102&lt;0,E102&gt;1),"Invalid allocation share",IF(ABS(SUMIF($B$7:$B$106,B102,$E$7:$E$106)-1)&gt;0.000000001,"Line shares must total 1","")))))))))</x:f>
      </x:c>
    </x:row>
    <x:row r="103" ht="26" customHeight="1">
      <x:c r="A103" s="16"/>
      <x:c r="B103" s="16"/>
      <x:c r="C103" s="16"/>
      <x:c r="D103" s="16"/>
      <x:c r="E103" s="11"/>
      <x:c r="F103" s="7"/>
      <x:c r="G103" s="15" t="str">
        <x:f>IF(OR(B103="",COUNTIF('Takeoff'!$A$7:$A$106,B103)&lt;&gt;1),"",IF(NOT(ISNUMBER(INDEX('Takeoff'!$O$7:$O$106,MATCH(B103,'Takeoff'!$A$7:$A$106,0)))),"",INDEX('Takeoff'!$O$7:$O$106,MATCH(B103,'Takeoff'!$A$7:$A$106,0))))</x:f>
      </x:c>
      <x:c r="H103" s="15" t="str">
        <x:f>IF(OR(A103="",I103&lt;&gt;""),"",G103*E103)</x:f>
      </x:c>
      <x:c r="I103" s="14" t="str">
        <x:f>IF(A103="","",IF(COUNTIF($A$7:$A$106,A103)&lt;&gt;1,"Duplicate allocation ID",IF(NOT(ISNUMBER(G103)),"Missing valid priced line",IF(AND(D103&lt;&gt;"Confirmed",D103&lt;&gt;"Provisional",D103&lt;&gt;"Unallocated"),"Missing coding state",IF(AND(D103&lt;&gt;"Unallocated",C103=""),"Missing code",IF(AND(D103&lt;&gt;"Unallocated",F103=""),"Missing code evidence",IF(NOT(ISNUMBER(E103)),"Missing allocation share",IF(OR(E103&lt;0,E103&gt;1),"Invalid allocation share",IF(ABS(SUMIF($B$7:$B$106,B103,$E$7:$E$106)-1)&gt;0.000000001,"Line shares must total 1","")))))))))</x:f>
      </x:c>
    </x:row>
    <x:row r="104" ht="26" customHeight="1">
      <x:c r="A104" s="16"/>
      <x:c r="B104" s="16"/>
      <x:c r="C104" s="16"/>
      <x:c r="D104" s="16"/>
      <x:c r="E104" s="11"/>
      <x:c r="F104" s="7"/>
      <x:c r="G104" s="15" t="str">
        <x:f>IF(OR(B104="",COUNTIF('Takeoff'!$A$7:$A$106,B104)&lt;&gt;1),"",IF(NOT(ISNUMBER(INDEX('Takeoff'!$O$7:$O$106,MATCH(B104,'Takeoff'!$A$7:$A$106,0)))),"",INDEX('Takeoff'!$O$7:$O$106,MATCH(B104,'Takeoff'!$A$7:$A$106,0))))</x:f>
      </x:c>
      <x:c r="H104" s="15" t="str">
        <x:f>IF(OR(A104="",I104&lt;&gt;""),"",G104*E104)</x:f>
      </x:c>
      <x:c r="I104" s="14" t="str">
        <x:f>IF(A104="","",IF(COUNTIF($A$7:$A$106,A104)&lt;&gt;1,"Duplicate allocation ID",IF(NOT(ISNUMBER(G104)),"Missing valid priced line",IF(AND(D104&lt;&gt;"Confirmed",D104&lt;&gt;"Provisional",D104&lt;&gt;"Unallocated"),"Missing coding state",IF(AND(D104&lt;&gt;"Unallocated",C104=""),"Missing code",IF(AND(D104&lt;&gt;"Unallocated",F104=""),"Missing code evidence",IF(NOT(ISNUMBER(E104)),"Missing allocation share",IF(OR(E104&lt;0,E104&gt;1),"Invalid allocation share",IF(ABS(SUMIF($B$7:$B$106,B104,$E$7:$E$106)-1)&gt;0.000000001,"Line shares must total 1","")))))))))</x:f>
      </x:c>
    </x:row>
    <x:row r="105" ht="26" customHeight="1">
      <x:c r="A105" s="16"/>
      <x:c r="B105" s="16"/>
      <x:c r="C105" s="16"/>
      <x:c r="D105" s="16"/>
      <x:c r="E105" s="11"/>
      <x:c r="F105" s="7"/>
      <x:c r="G105" s="15" t="str">
        <x:f>IF(OR(B105="",COUNTIF('Takeoff'!$A$7:$A$106,B105)&lt;&gt;1),"",IF(NOT(ISNUMBER(INDEX('Takeoff'!$O$7:$O$106,MATCH(B105,'Takeoff'!$A$7:$A$106,0)))),"",INDEX('Takeoff'!$O$7:$O$106,MATCH(B105,'Takeoff'!$A$7:$A$106,0))))</x:f>
      </x:c>
      <x:c r="H105" s="15" t="str">
        <x:f>IF(OR(A105="",I105&lt;&gt;""),"",G105*E105)</x:f>
      </x:c>
      <x:c r="I105" s="14" t="str">
        <x:f>IF(A105="","",IF(COUNTIF($A$7:$A$106,A105)&lt;&gt;1,"Duplicate allocation ID",IF(NOT(ISNUMBER(G105)),"Missing valid priced line",IF(AND(D105&lt;&gt;"Confirmed",D105&lt;&gt;"Provisional",D105&lt;&gt;"Unallocated"),"Missing coding state",IF(AND(D105&lt;&gt;"Unallocated",C105=""),"Missing code",IF(AND(D105&lt;&gt;"Unallocated",F105=""),"Missing code evidence",IF(NOT(ISNUMBER(E105)),"Missing allocation share",IF(OR(E105&lt;0,E105&gt;1),"Invalid allocation share",IF(ABS(SUMIF($B$7:$B$106,B105,$E$7:$E$106)-1)&gt;0.000000001,"Line shares must total 1","")))))))))</x:f>
      </x:c>
    </x:row>
    <x:row r="106" ht="26" customHeight="1">
      <x:c r="A106" s="16"/>
      <x:c r="B106" s="16"/>
      <x:c r="C106" s="16"/>
      <x:c r="D106" s="16"/>
      <x:c r="E106" s="11"/>
      <x:c r="F106" s="7"/>
      <x:c r="G106" s="15" t="str">
        <x:f>IF(OR(B106="",COUNTIF('Takeoff'!$A$7:$A$106,B106)&lt;&gt;1),"",IF(NOT(ISNUMBER(INDEX('Takeoff'!$O$7:$O$106,MATCH(B106,'Takeoff'!$A$7:$A$106,0)))),"",INDEX('Takeoff'!$O$7:$O$106,MATCH(B106,'Takeoff'!$A$7:$A$106,0))))</x:f>
      </x:c>
      <x:c r="H106" s="15" t="str">
        <x:f>IF(OR(A106="",I106&lt;&gt;""),"",G106*E106)</x:f>
      </x:c>
      <x:c r="I106" s="14" t="str">
        <x:f>IF(A106="","",IF(COUNTIF($A$7:$A$106,A106)&lt;&gt;1,"Duplicate allocation ID",IF(NOT(ISNUMBER(G106)),"Missing valid priced line",IF(AND(D106&lt;&gt;"Confirmed",D106&lt;&gt;"Provisional",D106&lt;&gt;"Unallocated"),"Missing coding state",IF(AND(D106&lt;&gt;"Unallocated",C106=""),"Missing code",IF(AND(D106&lt;&gt;"Unallocated",F106=""),"Missing code evidence",IF(NOT(ISNUMBER(E106)),"Missing allocation share",IF(OR(E106&lt;0,E106&gt;1),"Invalid allocation share",IF(ABS(SUMIF($B$7:$B$106,B106,$E$7:$E$106)-1)&gt;0.000000001,"Line shares must total 1","")))))))))</x:f>
      </x:c>
    </x:row>
  </x:sheetData>
  <x:dataValidations count="1">
    <x:dataValidation type="list" sqref="D7:D106">
      <x:formula1>"Confirmed,Provisional,Unallocated"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2" hidden="0" customWidth="1"/>
    <x:col min="5" max="5" width="18" hidden="0" customWidth="1"/>
    <x:col min="6" max="6" width="18" hidden="0" customWidth="1"/>
    <x:col min="7" max="7" width="20" hidden="0" customWidth="1"/>
    <x:col min="8" max="8" width="20" hidden="0" customWidth="1"/>
    <x:col min="9" max="9" width="22" hidden="0" customWidth="1"/>
    <x:col min="10" max="10" width="20" hidden="0" customWidth="1"/>
    <x:col min="11" max="11" width="36" hidden="0" customWidth="1"/>
    <x:col min="12" max="12" width="36" hidden="0" customWidth="1"/>
    <x:col min="13" max="13" width="34" hidden="0" customWidth="1"/>
  </x:cols>
  <x:sheetData>
    <x:row r="1">
      <x:c r="A1" s="2" t="str">
        <x:v>Revision bridge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38" customHeight="1">
      <x:c r="A2" s="1" t="str">
        <x:v>Prior total</x:v>
      </x:c>
      <x:c r="B2" s="12"/>
      <x:c r="C2" s="1"/>
      <x:c r="D2" s="13" t="str">
        <x:v>Bridge movement</x:v>
      </x:c>
      <x:c r="E2" s="12" t="str">
        <x:f>IF(COUNTA(A7:A106)=0,"",SUM(J7:J106))</x:f>
      </x:c>
      <x:c r="F2" s="1"/>
      <x:c r="G2" s="1"/>
      <x:c r="H2" s="1"/>
      <x:c r="I2" s="1"/>
      <x:c r="J2" s="1"/>
      <x:c r="K2" s="1"/>
      <x:c r="L2" s="1"/>
      <x:c r="M2" s="1"/>
    </x:row>
    <x:row r="3" ht="38" customHeight="1">
      <x:c r="A3" s="3" t="str">
        <x:v>New total</x:v>
      </x:c>
      <x:c r="B3" s="12"/>
      <x:c r="C3" s="1"/>
      <x:c r="D3" s="13" t="str">
        <x:v>Unexplained residual</x:v>
      </x:c>
      <x:c r="E3" s="12" t="str">
        <x:f>IF(AND(ISNUMBER(B4),ISNUMBER(E2)),B4-E2,"")</x:f>
      </x:c>
      <x:c r="F3" s="1"/>
      <x:c r="G3" s="1"/>
      <x:c r="H3" s="1"/>
      <x:c r="I3" s="1"/>
      <x:c r="J3" s="1"/>
      <x:c r="K3" s="1"/>
      <x:c r="L3" s="1"/>
      <x:c r="M3" s="1"/>
    </x:row>
    <x:row r="4">
      <x:c r="A4" s="1" t="str">
        <x:v>Expected movement</x:v>
      </x:c>
      <x:c r="B4" s="12" t="str">
        <x:f>IF(AND(ISNUMBER(B2),ISNUMBER(B3)),B3-B2,"")</x:f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>
      <x:c r="A5" s="1" t="str">
        <x:v>Separate added/removed scope in Other signed change; do not double count it in quantity/rate effects.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44" customHeight="1">
      <x:c r="A6" s="6" t="str">
        <x:v>Stable scope ID</x:v>
      </x:c>
      <x:c r="B6" s="6" t="str">
        <x:v>Prior quantity</x:v>
      </x:c>
      <x:c r="C6" s="6" t="str">
        <x:v>New quantity</x:v>
      </x:c>
      <x:c r="D6" s="6" t="str">
        <x:v>Unit</x:v>
      </x:c>
      <x:c r="E6" s="6" t="str">
        <x:v>Prior rate</x:v>
      </x:c>
      <x:c r="F6" s="6" t="str">
        <x:v>New rate</x:v>
      </x:c>
      <x:c r="G6" s="6" t="str">
        <x:v>Quantity effect</x:v>
      </x:c>
      <x:c r="H6" s="6" t="str">
        <x:v>Rate effect</x:v>
      </x:c>
      <x:c r="I6" s="6" t="str">
        <x:v>Other signed change</x:v>
      </x:c>
      <x:c r="J6" s="6" t="str">
        <x:v>Total change</x:v>
      </x:c>
      <x:c r="K6" s="6" t="str">
        <x:v>Cause</x:v>
      </x:c>
      <x:c r="L6" s="6" t="str">
        <x:v>Drawing revisions</x:v>
      </x:c>
      <x:c r="M6" s="6" t="str">
        <x:v>Query</x:v>
      </x:c>
    </x:row>
    <x:row r="7" ht="26" customHeight="1">
      <x:c r="A7" s="16"/>
      <x:c r="B7" s="7"/>
      <x:c r="C7" s="7"/>
      <x:c r="D7" s="7"/>
      <x:c r="E7" s="8"/>
      <x:c r="F7" s="8"/>
      <x:c r="G7" s="15" t="str">
        <x:f>IF(A7="","",IF(AND(ISNUMBER(B7),ISNUMBER(C7),ISNUMBER(E7)),(C7-B7)*E7,""))</x:f>
      </x:c>
      <x:c r="H7" s="15" t="str">
        <x:f>IF(A7="","",IF(AND(ISNUMBER(C7),ISNUMBER(E7),ISNUMBER(F7)),C7*(F7-E7),""))</x:f>
      </x:c>
      <x:c r="I7" s="8"/>
      <x:c r="J7" s="15" t="str">
        <x:f>IF(OR(A7="",M7&lt;&gt;""),"",SUM(G7:I7))</x:f>
      </x:c>
      <x:c r="K7" s="7"/>
      <x:c r="L7" s="7"/>
      <x:c r="M7" s="14" t="str">
        <x:f>IF(A7="","",IF(COUNTIF($A$7:$A$106,A7)&lt;&gt;1,"Duplicate scope ID",IF(OR(K7="",L7=""),"Missing cause or revision evidence",IF(AND(I7&lt;&gt;"",NOT(ISNUMBER(I7))),"Non-numeric other change",IF(AND(ISNUMBER(G7),ISNUMBER(H7)),IF(D7="","Missing quantity unit",""),IF(AND(B7="",C7="",E7="",F7="",ISNUMBER(I7)),"","Incomplete change inputs"))))))</x:f>
      </x:c>
    </x:row>
    <x:row r="8" ht="26" customHeight="1">
      <x:c r="A8" s="16"/>
      <x:c r="B8" s="7"/>
      <x:c r="C8" s="7"/>
      <x:c r="D8" s="7"/>
      <x:c r="E8" s="8"/>
      <x:c r="F8" s="8"/>
      <x:c r="G8" s="15" t="str">
        <x:f>IF(A8="","",IF(AND(ISNUMBER(B8),ISNUMBER(C8),ISNUMBER(E8)),(C8-B8)*E8,""))</x:f>
      </x:c>
      <x:c r="H8" s="15" t="str">
        <x:f>IF(A8="","",IF(AND(ISNUMBER(C8),ISNUMBER(E8),ISNUMBER(F8)),C8*(F8-E8),""))</x:f>
      </x:c>
      <x:c r="I8" s="8"/>
      <x:c r="J8" s="15" t="str">
        <x:f>IF(OR(A8="",M8&lt;&gt;""),"",SUM(G8:I8))</x:f>
      </x:c>
      <x:c r="K8" s="7"/>
      <x:c r="L8" s="7"/>
      <x:c r="M8" s="14" t="str">
        <x:f>IF(A8="","",IF(COUNTIF($A$7:$A$106,A8)&lt;&gt;1,"Duplicate scope ID",IF(OR(K8="",L8=""),"Missing cause or revision evidence",IF(AND(I8&lt;&gt;"",NOT(ISNUMBER(I8))),"Non-numeric other change",IF(AND(ISNUMBER(G8),ISNUMBER(H8)),IF(D8="","Missing quantity unit",""),IF(AND(B8="",C8="",E8="",F8="",ISNUMBER(I8)),"","Incomplete change inputs"))))))</x:f>
      </x:c>
    </x:row>
    <x:row r="9" ht="26" customHeight="1">
      <x:c r="A9" s="16"/>
      <x:c r="B9" s="7"/>
      <x:c r="C9" s="7"/>
      <x:c r="D9" s="7"/>
      <x:c r="E9" s="8"/>
      <x:c r="F9" s="8"/>
      <x:c r="G9" s="15" t="str">
        <x:f>IF(A9="","",IF(AND(ISNUMBER(B9),ISNUMBER(C9),ISNUMBER(E9)),(C9-B9)*E9,""))</x:f>
      </x:c>
      <x:c r="H9" s="15" t="str">
        <x:f>IF(A9="","",IF(AND(ISNUMBER(C9),ISNUMBER(E9),ISNUMBER(F9)),C9*(F9-E9),""))</x:f>
      </x:c>
      <x:c r="I9" s="8"/>
      <x:c r="J9" s="15" t="str">
        <x:f>IF(OR(A9="",M9&lt;&gt;""),"",SUM(G9:I9))</x:f>
      </x:c>
      <x:c r="K9" s="7"/>
      <x:c r="L9" s="7"/>
      <x:c r="M9" s="14" t="str">
        <x:f>IF(A9="","",IF(COUNTIF($A$7:$A$106,A9)&lt;&gt;1,"Duplicate scope ID",IF(OR(K9="",L9=""),"Missing cause or revision evidence",IF(AND(I9&lt;&gt;"",NOT(ISNUMBER(I9))),"Non-numeric other change",IF(AND(ISNUMBER(G9),ISNUMBER(H9)),IF(D9="","Missing quantity unit",""),IF(AND(B9="",C9="",E9="",F9="",ISNUMBER(I9)),"","Incomplete change inputs"))))))</x:f>
      </x:c>
    </x:row>
    <x:row r="10" ht="26" customHeight="1">
      <x:c r="A10" s="16"/>
      <x:c r="B10" s="7"/>
      <x:c r="C10" s="7"/>
      <x:c r="D10" s="7"/>
      <x:c r="E10" s="8"/>
      <x:c r="F10" s="8"/>
      <x:c r="G10" s="15" t="str">
        <x:f>IF(A10="","",IF(AND(ISNUMBER(B10),ISNUMBER(C10),ISNUMBER(E10)),(C10-B10)*E10,""))</x:f>
      </x:c>
      <x:c r="H10" s="15" t="str">
        <x:f>IF(A10="","",IF(AND(ISNUMBER(C10),ISNUMBER(E10),ISNUMBER(F10)),C10*(F10-E10),""))</x:f>
      </x:c>
      <x:c r="I10" s="8"/>
      <x:c r="J10" s="15" t="str">
        <x:f>IF(OR(A10="",M10&lt;&gt;""),"",SUM(G10:I10))</x:f>
      </x:c>
      <x:c r="K10" s="7"/>
      <x:c r="L10" s="7"/>
      <x:c r="M10" s="14" t="str">
        <x:f>IF(A10="","",IF(COUNTIF($A$7:$A$106,A10)&lt;&gt;1,"Duplicate scope ID",IF(OR(K10="",L10=""),"Missing cause or revision evidence",IF(AND(I10&lt;&gt;"",NOT(ISNUMBER(I10))),"Non-numeric other change",IF(AND(ISNUMBER(G10),ISNUMBER(H10)),IF(D10="","Missing quantity unit",""),IF(AND(B10="",C10="",E10="",F10="",ISNUMBER(I10)),"","Incomplete change inputs"))))))</x:f>
      </x:c>
    </x:row>
    <x:row r="11" ht="26" customHeight="1">
      <x:c r="A11" s="16"/>
      <x:c r="B11" s="7"/>
      <x:c r="C11" s="7"/>
      <x:c r="D11" s="7"/>
      <x:c r="E11" s="8"/>
      <x:c r="F11" s="8"/>
      <x:c r="G11" s="15" t="str">
        <x:f>IF(A11="","",IF(AND(ISNUMBER(B11),ISNUMBER(C11),ISNUMBER(E11)),(C11-B11)*E11,""))</x:f>
      </x:c>
      <x:c r="H11" s="15" t="str">
        <x:f>IF(A11="","",IF(AND(ISNUMBER(C11),ISNUMBER(E11),ISNUMBER(F11)),C11*(F11-E11),""))</x:f>
      </x:c>
      <x:c r="I11" s="8"/>
      <x:c r="J11" s="15" t="str">
        <x:f>IF(OR(A11="",M11&lt;&gt;""),"",SUM(G11:I11))</x:f>
      </x:c>
      <x:c r="K11" s="7"/>
      <x:c r="L11" s="7"/>
      <x:c r="M11" s="14" t="str">
        <x:f>IF(A11="","",IF(COUNTIF($A$7:$A$106,A11)&lt;&gt;1,"Duplicate scope ID",IF(OR(K11="",L11=""),"Missing cause or revision evidence",IF(AND(I11&lt;&gt;"",NOT(ISNUMBER(I11))),"Non-numeric other change",IF(AND(ISNUMBER(G11),ISNUMBER(H11)),IF(D11="","Missing quantity unit",""),IF(AND(B11="",C11="",E11="",F11="",ISNUMBER(I11)),"","Incomplete change inputs"))))))</x:f>
      </x:c>
    </x:row>
    <x:row r="12" ht="26" customHeight="1">
      <x:c r="A12" s="16"/>
      <x:c r="B12" s="7"/>
      <x:c r="C12" s="7"/>
      <x:c r="D12" s="7"/>
      <x:c r="E12" s="8"/>
      <x:c r="F12" s="8"/>
      <x:c r="G12" s="15" t="str">
        <x:f>IF(A12="","",IF(AND(ISNUMBER(B12),ISNUMBER(C12),ISNUMBER(E12)),(C12-B12)*E12,""))</x:f>
      </x:c>
      <x:c r="H12" s="15" t="str">
        <x:f>IF(A12="","",IF(AND(ISNUMBER(C12),ISNUMBER(E12),ISNUMBER(F12)),C12*(F12-E12),""))</x:f>
      </x:c>
      <x:c r="I12" s="8"/>
      <x:c r="J12" s="15" t="str">
        <x:f>IF(OR(A12="",M12&lt;&gt;""),"",SUM(G12:I12))</x:f>
      </x:c>
      <x:c r="K12" s="7"/>
      <x:c r="L12" s="7"/>
      <x:c r="M12" s="14" t="str">
        <x:f>IF(A12="","",IF(COUNTIF($A$7:$A$106,A12)&lt;&gt;1,"Duplicate scope ID",IF(OR(K12="",L12=""),"Missing cause or revision evidence",IF(AND(I12&lt;&gt;"",NOT(ISNUMBER(I12))),"Non-numeric other change",IF(AND(ISNUMBER(G12),ISNUMBER(H12)),IF(D12="","Missing quantity unit",""),IF(AND(B12="",C12="",E12="",F12="",ISNUMBER(I12)),"","Incomplete change inputs"))))))</x:f>
      </x:c>
    </x:row>
    <x:row r="13" ht="26" customHeight="1">
      <x:c r="A13" s="16"/>
      <x:c r="B13" s="7"/>
      <x:c r="C13" s="7"/>
      <x:c r="D13" s="7"/>
      <x:c r="E13" s="8"/>
      <x:c r="F13" s="8"/>
      <x:c r="G13" s="15" t="str">
        <x:f>IF(A13="","",IF(AND(ISNUMBER(B13),ISNUMBER(C13),ISNUMBER(E13)),(C13-B13)*E13,""))</x:f>
      </x:c>
      <x:c r="H13" s="15" t="str">
        <x:f>IF(A13="","",IF(AND(ISNUMBER(C13),ISNUMBER(E13),ISNUMBER(F13)),C13*(F13-E13),""))</x:f>
      </x:c>
      <x:c r="I13" s="8"/>
      <x:c r="J13" s="15" t="str">
        <x:f>IF(OR(A13="",M13&lt;&gt;""),"",SUM(G13:I13))</x:f>
      </x:c>
      <x:c r="K13" s="7"/>
      <x:c r="L13" s="7"/>
      <x:c r="M13" s="14" t="str">
        <x:f>IF(A13="","",IF(COUNTIF($A$7:$A$106,A13)&lt;&gt;1,"Duplicate scope ID",IF(OR(K13="",L13=""),"Missing cause or revision evidence",IF(AND(I13&lt;&gt;"",NOT(ISNUMBER(I13))),"Non-numeric other change",IF(AND(ISNUMBER(G13),ISNUMBER(H13)),IF(D13="","Missing quantity unit",""),IF(AND(B13="",C13="",E13="",F13="",ISNUMBER(I13)),"","Incomplete change inputs"))))))</x:f>
      </x:c>
    </x:row>
    <x:row r="14" ht="26" customHeight="1">
      <x:c r="A14" s="16"/>
      <x:c r="B14" s="7"/>
      <x:c r="C14" s="7"/>
      <x:c r="D14" s="7"/>
      <x:c r="E14" s="8"/>
      <x:c r="F14" s="8"/>
      <x:c r="G14" s="15" t="str">
        <x:f>IF(A14="","",IF(AND(ISNUMBER(B14),ISNUMBER(C14),ISNUMBER(E14)),(C14-B14)*E14,""))</x:f>
      </x:c>
      <x:c r="H14" s="15" t="str">
        <x:f>IF(A14="","",IF(AND(ISNUMBER(C14),ISNUMBER(E14),ISNUMBER(F14)),C14*(F14-E14),""))</x:f>
      </x:c>
      <x:c r="I14" s="8"/>
      <x:c r="J14" s="15" t="str">
        <x:f>IF(OR(A14="",M14&lt;&gt;""),"",SUM(G14:I14))</x:f>
      </x:c>
      <x:c r="K14" s="7"/>
      <x:c r="L14" s="7"/>
      <x:c r="M14" s="14" t="str">
        <x:f>IF(A14="","",IF(COUNTIF($A$7:$A$106,A14)&lt;&gt;1,"Duplicate scope ID",IF(OR(K14="",L14=""),"Missing cause or revision evidence",IF(AND(I14&lt;&gt;"",NOT(ISNUMBER(I14))),"Non-numeric other change",IF(AND(ISNUMBER(G14),ISNUMBER(H14)),IF(D14="","Missing quantity unit",""),IF(AND(B14="",C14="",E14="",F14="",ISNUMBER(I14)),"","Incomplete change inputs"))))))</x:f>
      </x:c>
    </x:row>
    <x:row r="15" ht="26" customHeight="1">
      <x:c r="A15" s="16"/>
      <x:c r="B15" s="7"/>
      <x:c r="C15" s="7"/>
      <x:c r="D15" s="7"/>
      <x:c r="E15" s="8"/>
      <x:c r="F15" s="8"/>
      <x:c r="G15" s="15" t="str">
        <x:f>IF(A15="","",IF(AND(ISNUMBER(B15),ISNUMBER(C15),ISNUMBER(E15)),(C15-B15)*E15,""))</x:f>
      </x:c>
      <x:c r="H15" s="15" t="str">
        <x:f>IF(A15="","",IF(AND(ISNUMBER(C15),ISNUMBER(E15),ISNUMBER(F15)),C15*(F15-E15),""))</x:f>
      </x:c>
      <x:c r="I15" s="8"/>
      <x:c r="J15" s="15" t="str">
        <x:f>IF(OR(A15="",M15&lt;&gt;""),"",SUM(G15:I15))</x:f>
      </x:c>
      <x:c r="K15" s="7"/>
      <x:c r="L15" s="7"/>
      <x:c r="M15" s="14" t="str">
        <x:f>IF(A15="","",IF(COUNTIF($A$7:$A$106,A15)&lt;&gt;1,"Duplicate scope ID",IF(OR(K15="",L15=""),"Missing cause or revision evidence",IF(AND(I15&lt;&gt;"",NOT(ISNUMBER(I15))),"Non-numeric other change",IF(AND(ISNUMBER(G15),ISNUMBER(H15)),IF(D15="","Missing quantity unit",""),IF(AND(B15="",C15="",E15="",F15="",ISNUMBER(I15)),"","Incomplete change inputs"))))))</x:f>
      </x:c>
    </x:row>
    <x:row r="16" ht="26" customHeight="1">
      <x:c r="A16" s="16"/>
      <x:c r="B16" s="7"/>
      <x:c r="C16" s="7"/>
      <x:c r="D16" s="7"/>
      <x:c r="E16" s="8"/>
      <x:c r="F16" s="8"/>
      <x:c r="G16" s="15" t="str">
        <x:f>IF(A16="","",IF(AND(ISNUMBER(B16),ISNUMBER(C16),ISNUMBER(E16)),(C16-B16)*E16,""))</x:f>
      </x:c>
      <x:c r="H16" s="15" t="str">
        <x:f>IF(A16="","",IF(AND(ISNUMBER(C16),ISNUMBER(E16),ISNUMBER(F16)),C16*(F16-E16),""))</x:f>
      </x:c>
      <x:c r="I16" s="8"/>
      <x:c r="J16" s="15" t="str">
        <x:f>IF(OR(A16="",M16&lt;&gt;""),"",SUM(G16:I16))</x:f>
      </x:c>
      <x:c r="K16" s="7"/>
      <x:c r="L16" s="7"/>
      <x:c r="M16" s="14" t="str">
        <x:f>IF(A16="","",IF(COUNTIF($A$7:$A$106,A16)&lt;&gt;1,"Duplicate scope ID",IF(OR(K16="",L16=""),"Missing cause or revision evidence",IF(AND(I16&lt;&gt;"",NOT(ISNUMBER(I16))),"Non-numeric other change",IF(AND(ISNUMBER(G16),ISNUMBER(H16)),IF(D16="","Missing quantity unit",""),IF(AND(B16="",C16="",E16="",F16="",ISNUMBER(I16)),"","Incomplete change inputs"))))))</x:f>
      </x:c>
    </x:row>
    <x:row r="17" ht="26" customHeight="1">
      <x:c r="A17" s="16"/>
      <x:c r="B17" s="7"/>
      <x:c r="C17" s="7"/>
      <x:c r="D17" s="7"/>
      <x:c r="E17" s="8"/>
      <x:c r="F17" s="8"/>
      <x:c r="G17" s="15" t="str">
        <x:f>IF(A17="","",IF(AND(ISNUMBER(B17),ISNUMBER(C17),ISNUMBER(E17)),(C17-B17)*E17,""))</x:f>
      </x:c>
      <x:c r="H17" s="15" t="str">
        <x:f>IF(A17="","",IF(AND(ISNUMBER(C17),ISNUMBER(E17),ISNUMBER(F17)),C17*(F17-E17),""))</x:f>
      </x:c>
      <x:c r="I17" s="8"/>
      <x:c r="J17" s="15" t="str">
        <x:f>IF(OR(A17="",M17&lt;&gt;""),"",SUM(G17:I17))</x:f>
      </x:c>
      <x:c r="K17" s="7"/>
      <x:c r="L17" s="7"/>
      <x:c r="M17" s="14" t="str">
        <x:f>IF(A17="","",IF(COUNTIF($A$7:$A$106,A17)&lt;&gt;1,"Duplicate scope ID",IF(OR(K17="",L17=""),"Missing cause or revision evidence",IF(AND(I17&lt;&gt;"",NOT(ISNUMBER(I17))),"Non-numeric other change",IF(AND(ISNUMBER(G17),ISNUMBER(H17)),IF(D17="","Missing quantity unit",""),IF(AND(B17="",C17="",E17="",F17="",ISNUMBER(I17)),"","Incomplete change inputs"))))))</x:f>
      </x:c>
    </x:row>
    <x:row r="18" ht="26" customHeight="1">
      <x:c r="A18" s="16"/>
      <x:c r="B18" s="7"/>
      <x:c r="C18" s="7"/>
      <x:c r="D18" s="7"/>
      <x:c r="E18" s="8"/>
      <x:c r="F18" s="8"/>
      <x:c r="G18" s="15" t="str">
        <x:f>IF(A18="","",IF(AND(ISNUMBER(B18),ISNUMBER(C18),ISNUMBER(E18)),(C18-B18)*E18,""))</x:f>
      </x:c>
      <x:c r="H18" s="15" t="str">
        <x:f>IF(A18="","",IF(AND(ISNUMBER(C18),ISNUMBER(E18),ISNUMBER(F18)),C18*(F18-E18),""))</x:f>
      </x:c>
      <x:c r="I18" s="8"/>
      <x:c r="J18" s="15" t="str">
        <x:f>IF(OR(A18="",M18&lt;&gt;""),"",SUM(G18:I18))</x:f>
      </x:c>
      <x:c r="K18" s="7"/>
      <x:c r="L18" s="7"/>
      <x:c r="M18" s="14" t="str">
        <x:f>IF(A18="","",IF(COUNTIF($A$7:$A$106,A18)&lt;&gt;1,"Duplicate scope ID",IF(OR(K18="",L18=""),"Missing cause or revision evidence",IF(AND(I18&lt;&gt;"",NOT(ISNUMBER(I18))),"Non-numeric other change",IF(AND(ISNUMBER(G18),ISNUMBER(H18)),IF(D18="","Missing quantity unit",""),IF(AND(B18="",C18="",E18="",F18="",ISNUMBER(I18)),"","Incomplete change inputs"))))))</x:f>
      </x:c>
    </x:row>
    <x:row r="19" ht="26" customHeight="1">
      <x:c r="A19" s="16"/>
      <x:c r="B19" s="7"/>
      <x:c r="C19" s="7"/>
      <x:c r="D19" s="7"/>
      <x:c r="E19" s="8"/>
      <x:c r="F19" s="8"/>
      <x:c r="G19" s="15" t="str">
        <x:f>IF(A19="","",IF(AND(ISNUMBER(B19),ISNUMBER(C19),ISNUMBER(E19)),(C19-B19)*E19,""))</x:f>
      </x:c>
      <x:c r="H19" s="15" t="str">
        <x:f>IF(A19="","",IF(AND(ISNUMBER(C19),ISNUMBER(E19),ISNUMBER(F19)),C19*(F19-E19),""))</x:f>
      </x:c>
      <x:c r="I19" s="8"/>
      <x:c r="J19" s="15" t="str">
        <x:f>IF(OR(A19="",M19&lt;&gt;""),"",SUM(G19:I19))</x:f>
      </x:c>
      <x:c r="K19" s="7"/>
      <x:c r="L19" s="7"/>
      <x:c r="M19" s="14" t="str">
        <x:f>IF(A19="","",IF(COUNTIF($A$7:$A$106,A19)&lt;&gt;1,"Duplicate scope ID",IF(OR(K19="",L19=""),"Missing cause or revision evidence",IF(AND(I19&lt;&gt;"",NOT(ISNUMBER(I19))),"Non-numeric other change",IF(AND(ISNUMBER(G19),ISNUMBER(H19)),IF(D19="","Missing quantity unit",""),IF(AND(B19="",C19="",E19="",F19="",ISNUMBER(I19)),"","Incomplete change inputs"))))))</x:f>
      </x:c>
    </x:row>
    <x:row r="20" ht="26" customHeight="1">
      <x:c r="A20" s="16"/>
      <x:c r="B20" s="7"/>
      <x:c r="C20" s="7"/>
      <x:c r="D20" s="7"/>
      <x:c r="E20" s="8"/>
      <x:c r="F20" s="8"/>
      <x:c r="G20" s="15" t="str">
        <x:f>IF(A20="","",IF(AND(ISNUMBER(B20),ISNUMBER(C20),ISNUMBER(E20)),(C20-B20)*E20,""))</x:f>
      </x:c>
      <x:c r="H20" s="15" t="str">
        <x:f>IF(A20="","",IF(AND(ISNUMBER(C20),ISNUMBER(E20),ISNUMBER(F20)),C20*(F20-E20),""))</x:f>
      </x:c>
      <x:c r="I20" s="8"/>
      <x:c r="J20" s="15" t="str">
        <x:f>IF(OR(A20="",M20&lt;&gt;""),"",SUM(G20:I20))</x:f>
      </x:c>
      <x:c r="K20" s="7"/>
      <x:c r="L20" s="7"/>
      <x:c r="M20" s="14" t="str">
        <x:f>IF(A20="","",IF(COUNTIF($A$7:$A$106,A20)&lt;&gt;1,"Duplicate scope ID",IF(OR(K20="",L20=""),"Missing cause or revision evidence",IF(AND(I20&lt;&gt;"",NOT(ISNUMBER(I20))),"Non-numeric other change",IF(AND(ISNUMBER(G20),ISNUMBER(H20)),IF(D20="","Missing quantity unit",""),IF(AND(B20="",C20="",E20="",F20="",ISNUMBER(I20)),"","Incomplete change inputs"))))))</x:f>
      </x:c>
    </x:row>
    <x:row r="21" ht="26" customHeight="1">
      <x:c r="A21" s="16"/>
      <x:c r="B21" s="7"/>
      <x:c r="C21" s="7"/>
      <x:c r="D21" s="7"/>
      <x:c r="E21" s="8"/>
      <x:c r="F21" s="8"/>
      <x:c r="G21" s="15" t="str">
        <x:f>IF(A21="","",IF(AND(ISNUMBER(B21),ISNUMBER(C21),ISNUMBER(E21)),(C21-B21)*E21,""))</x:f>
      </x:c>
      <x:c r="H21" s="15" t="str">
        <x:f>IF(A21="","",IF(AND(ISNUMBER(C21),ISNUMBER(E21),ISNUMBER(F21)),C21*(F21-E21),""))</x:f>
      </x:c>
      <x:c r="I21" s="8"/>
      <x:c r="J21" s="15" t="str">
        <x:f>IF(OR(A21="",M21&lt;&gt;""),"",SUM(G21:I21))</x:f>
      </x:c>
      <x:c r="K21" s="7"/>
      <x:c r="L21" s="7"/>
      <x:c r="M21" s="14" t="str">
        <x:f>IF(A21="","",IF(COUNTIF($A$7:$A$106,A21)&lt;&gt;1,"Duplicate scope ID",IF(OR(K21="",L21=""),"Missing cause or revision evidence",IF(AND(I21&lt;&gt;"",NOT(ISNUMBER(I21))),"Non-numeric other change",IF(AND(ISNUMBER(G21),ISNUMBER(H21)),IF(D21="","Missing quantity unit",""),IF(AND(B21="",C21="",E21="",F21="",ISNUMBER(I21)),"","Incomplete change inputs"))))))</x:f>
      </x:c>
    </x:row>
    <x:row r="22" ht="26" customHeight="1">
      <x:c r="A22" s="16"/>
      <x:c r="B22" s="7"/>
      <x:c r="C22" s="7"/>
      <x:c r="D22" s="7"/>
      <x:c r="E22" s="8"/>
      <x:c r="F22" s="8"/>
      <x:c r="G22" s="15" t="str">
        <x:f>IF(A22="","",IF(AND(ISNUMBER(B22),ISNUMBER(C22),ISNUMBER(E22)),(C22-B22)*E22,""))</x:f>
      </x:c>
      <x:c r="H22" s="15" t="str">
        <x:f>IF(A22="","",IF(AND(ISNUMBER(C22),ISNUMBER(E22),ISNUMBER(F22)),C22*(F22-E22),""))</x:f>
      </x:c>
      <x:c r="I22" s="8"/>
      <x:c r="J22" s="15" t="str">
        <x:f>IF(OR(A22="",M22&lt;&gt;""),"",SUM(G22:I22))</x:f>
      </x:c>
      <x:c r="K22" s="7"/>
      <x:c r="L22" s="7"/>
      <x:c r="M22" s="14" t="str">
        <x:f>IF(A22="","",IF(COUNTIF($A$7:$A$106,A22)&lt;&gt;1,"Duplicate scope ID",IF(OR(K22="",L22=""),"Missing cause or revision evidence",IF(AND(I22&lt;&gt;"",NOT(ISNUMBER(I22))),"Non-numeric other change",IF(AND(ISNUMBER(G22),ISNUMBER(H22)),IF(D22="","Missing quantity unit",""),IF(AND(B22="",C22="",E22="",F22="",ISNUMBER(I22)),"","Incomplete change inputs"))))))</x:f>
      </x:c>
    </x:row>
    <x:row r="23" ht="26" customHeight="1">
      <x:c r="A23" s="16"/>
      <x:c r="B23" s="7"/>
      <x:c r="C23" s="7"/>
      <x:c r="D23" s="7"/>
      <x:c r="E23" s="8"/>
      <x:c r="F23" s="8"/>
      <x:c r="G23" s="15" t="str">
        <x:f>IF(A23="","",IF(AND(ISNUMBER(B23),ISNUMBER(C23),ISNUMBER(E23)),(C23-B23)*E23,""))</x:f>
      </x:c>
      <x:c r="H23" s="15" t="str">
        <x:f>IF(A23="","",IF(AND(ISNUMBER(C23),ISNUMBER(E23),ISNUMBER(F23)),C23*(F23-E23),""))</x:f>
      </x:c>
      <x:c r="I23" s="8"/>
      <x:c r="J23" s="15" t="str">
        <x:f>IF(OR(A23="",M23&lt;&gt;""),"",SUM(G23:I23))</x:f>
      </x:c>
      <x:c r="K23" s="7"/>
      <x:c r="L23" s="7"/>
      <x:c r="M23" s="14" t="str">
        <x:f>IF(A23="","",IF(COUNTIF($A$7:$A$106,A23)&lt;&gt;1,"Duplicate scope ID",IF(OR(K23="",L23=""),"Missing cause or revision evidence",IF(AND(I23&lt;&gt;"",NOT(ISNUMBER(I23))),"Non-numeric other change",IF(AND(ISNUMBER(G23),ISNUMBER(H23)),IF(D23="","Missing quantity unit",""),IF(AND(B23="",C23="",E23="",F23="",ISNUMBER(I23)),"","Incomplete change inputs"))))))</x:f>
      </x:c>
    </x:row>
    <x:row r="24" ht="26" customHeight="1">
      <x:c r="A24" s="16"/>
      <x:c r="B24" s="7"/>
      <x:c r="C24" s="7"/>
      <x:c r="D24" s="7"/>
      <x:c r="E24" s="8"/>
      <x:c r="F24" s="8"/>
      <x:c r="G24" s="15" t="str">
        <x:f>IF(A24="","",IF(AND(ISNUMBER(B24),ISNUMBER(C24),ISNUMBER(E24)),(C24-B24)*E24,""))</x:f>
      </x:c>
      <x:c r="H24" s="15" t="str">
        <x:f>IF(A24="","",IF(AND(ISNUMBER(C24),ISNUMBER(E24),ISNUMBER(F24)),C24*(F24-E24),""))</x:f>
      </x:c>
      <x:c r="I24" s="8"/>
      <x:c r="J24" s="15" t="str">
        <x:f>IF(OR(A24="",M24&lt;&gt;""),"",SUM(G24:I24))</x:f>
      </x:c>
      <x:c r="K24" s="7"/>
      <x:c r="L24" s="7"/>
      <x:c r="M24" s="14" t="str">
        <x:f>IF(A24="","",IF(COUNTIF($A$7:$A$106,A24)&lt;&gt;1,"Duplicate scope ID",IF(OR(K24="",L24=""),"Missing cause or revision evidence",IF(AND(I24&lt;&gt;"",NOT(ISNUMBER(I24))),"Non-numeric other change",IF(AND(ISNUMBER(G24),ISNUMBER(H24)),IF(D24="","Missing quantity unit",""),IF(AND(B24="",C24="",E24="",F24="",ISNUMBER(I24)),"","Incomplete change inputs"))))))</x:f>
      </x:c>
    </x:row>
    <x:row r="25" ht="26" customHeight="1">
      <x:c r="A25" s="16"/>
      <x:c r="B25" s="7"/>
      <x:c r="C25" s="7"/>
      <x:c r="D25" s="7"/>
      <x:c r="E25" s="8"/>
      <x:c r="F25" s="8"/>
      <x:c r="G25" s="15" t="str">
        <x:f>IF(A25="","",IF(AND(ISNUMBER(B25),ISNUMBER(C25),ISNUMBER(E25)),(C25-B25)*E25,""))</x:f>
      </x:c>
      <x:c r="H25" s="15" t="str">
        <x:f>IF(A25="","",IF(AND(ISNUMBER(C25),ISNUMBER(E25),ISNUMBER(F25)),C25*(F25-E25),""))</x:f>
      </x:c>
      <x:c r="I25" s="8"/>
      <x:c r="J25" s="15" t="str">
        <x:f>IF(OR(A25="",M25&lt;&gt;""),"",SUM(G25:I25))</x:f>
      </x:c>
      <x:c r="K25" s="7"/>
      <x:c r="L25" s="7"/>
      <x:c r="M25" s="14" t="str">
        <x:f>IF(A25="","",IF(COUNTIF($A$7:$A$106,A25)&lt;&gt;1,"Duplicate scope ID",IF(OR(K25="",L25=""),"Missing cause or revision evidence",IF(AND(I25&lt;&gt;"",NOT(ISNUMBER(I25))),"Non-numeric other change",IF(AND(ISNUMBER(G25),ISNUMBER(H25)),IF(D25="","Missing quantity unit",""),IF(AND(B25="",C25="",E25="",F25="",ISNUMBER(I25)),"","Incomplete change inputs"))))))</x:f>
      </x:c>
    </x:row>
    <x:row r="26" ht="26" customHeight="1">
      <x:c r="A26" s="16"/>
      <x:c r="B26" s="7"/>
      <x:c r="C26" s="7"/>
      <x:c r="D26" s="7"/>
      <x:c r="E26" s="8"/>
      <x:c r="F26" s="8"/>
      <x:c r="G26" s="15" t="str">
        <x:f>IF(A26="","",IF(AND(ISNUMBER(B26),ISNUMBER(C26),ISNUMBER(E26)),(C26-B26)*E26,""))</x:f>
      </x:c>
      <x:c r="H26" s="15" t="str">
        <x:f>IF(A26="","",IF(AND(ISNUMBER(C26),ISNUMBER(E26),ISNUMBER(F26)),C26*(F26-E26),""))</x:f>
      </x:c>
      <x:c r="I26" s="8"/>
      <x:c r="J26" s="15" t="str">
        <x:f>IF(OR(A26="",M26&lt;&gt;""),"",SUM(G26:I26))</x:f>
      </x:c>
      <x:c r="K26" s="7"/>
      <x:c r="L26" s="7"/>
      <x:c r="M26" s="14" t="str">
        <x:f>IF(A26="","",IF(COUNTIF($A$7:$A$106,A26)&lt;&gt;1,"Duplicate scope ID",IF(OR(K26="",L26=""),"Missing cause or revision evidence",IF(AND(I26&lt;&gt;"",NOT(ISNUMBER(I26))),"Non-numeric other change",IF(AND(ISNUMBER(G26),ISNUMBER(H26)),IF(D26="","Missing quantity unit",""),IF(AND(B26="",C26="",E26="",F26="",ISNUMBER(I26)),"","Incomplete change inputs"))))))</x:f>
      </x:c>
    </x:row>
    <x:row r="27" ht="26" customHeight="1">
      <x:c r="A27" s="16"/>
      <x:c r="B27" s="7"/>
      <x:c r="C27" s="7"/>
      <x:c r="D27" s="7"/>
      <x:c r="E27" s="8"/>
      <x:c r="F27" s="8"/>
      <x:c r="G27" s="15" t="str">
        <x:f>IF(A27="","",IF(AND(ISNUMBER(B27),ISNUMBER(C27),ISNUMBER(E27)),(C27-B27)*E27,""))</x:f>
      </x:c>
      <x:c r="H27" s="15" t="str">
        <x:f>IF(A27="","",IF(AND(ISNUMBER(C27),ISNUMBER(E27),ISNUMBER(F27)),C27*(F27-E27),""))</x:f>
      </x:c>
      <x:c r="I27" s="8"/>
      <x:c r="J27" s="15" t="str">
        <x:f>IF(OR(A27="",M27&lt;&gt;""),"",SUM(G27:I27))</x:f>
      </x:c>
      <x:c r="K27" s="7"/>
      <x:c r="L27" s="7"/>
      <x:c r="M27" s="14" t="str">
        <x:f>IF(A27="","",IF(COUNTIF($A$7:$A$106,A27)&lt;&gt;1,"Duplicate scope ID",IF(OR(K27="",L27=""),"Missing cause or revision evidence",IF(AND(I27&lt;&gt;"",NOT(ISNUMBER(I27))),"Non-numeric other change",IF(AND(ISNUMBER(G27),ISNUMBER(H27)),IF(D27="","Missing quantity unit",""),IF(AND(B27="",C27="",E27="",F27="",ISNUMBER(I27)),"","Incomplete change inputs"))))))</x:f>
      </x:c>
    </x:row>
    <x:row r="28" ht="26" customHeight="1">
      <x:c r="A28" s="16"/>
      <x:c r="B28" s="7"/>
      <x:c r="C28" s="7"/>
      <x:c r="D28" s="7"/>
      <x:c r="E28" s="8"/>
      <x:c r="F28" s="8"/>
      <x:c r="G28" s="15" t="str">
        <x:f>IF(A28="","",IF(AND(ISNUMBER(B28),ISNUMBER(C28),ISNUMBER(E28)),(C28-B28)*E28,""))</x:f>
      </x:c>
      <x:c r="H28" s="15" t="str">
        <x:f>IF(A28="","",IF(AND(ISNUMBER(C28),ISNUMBER(E28),ISNUMBER(F28)),C28*(F28-E28),""))</x:f>
      </x:c>
      <x:c r="I28" s="8"/>
      <x:c r="J28" s="15" t="str">
        <x:f>IF(OR(A28="",M28&lt;&gt;""),"",SUM(G28:I28))</x:f>
      </x:c>
      <x:c r="K28" s="7"/>
      <x:c r="L28" s="7"/>
      <x:c r="M28" s="14" t="str">
        <x:f>IF(A28="","",IF(COUNTIF($A$7:$A$106,A28)&lt;&gt;1,"Duplicate scope ID",IF(OR(K28="",L28=""),"Missing cause or revision evidence",IF(AND(I28&lt;&gt;"",NOT(ISNUMBER(I28))),"Non-numeric other change",IF(AND(ISNUMBER(G28),ISNUMBER(H28)),IF(D28="","Missing quantity unit",""),IF(AND(B28="",C28="",E28="",F28="",ISNUMBER(I28)),"","Incomplete change inputs"))))))</x:f>
      </x:c>
    </x:row>
    <x:row r="29" ht="26" customHeight="1">
      <x:c r="A29" s="16"/>
      <x:c r="B29" s="7"/>
      <x:c r="C29" s="7"/>
      <x:c r="D29" s="7"/>
      <x:c r="E29" s="8"/>
      <x:c r="F29" s="8"/>
      <x:c r="G29" s="15" t="str">
        <x:f>IF(A29="","",IF(AND(ISNUMBER(B29),ISNUMBER(C29),ISNUMBER(E29)),(C29-B29)*E29,""))</x:f>
      </x:c>
      <x:c r="H29" s="15" t="str">
        <x:f>IF(A29="","",IF(AND(ISNUMBER(C29),ISNUMBER(E29),ISNUMBER(F29)),C29*(F29-E29),""))</x:f>
      </x:c>
      <x:c r="I29" s="8"/>
      <x:c r="J29" s="15" t="str">
        <x:f>IF(OR(A29="",M29&lt;&gt;""),"",SUM(G29:I29))</x:f>
      </x:c>
      <x:c r="K29" s="7"/>
      <x:c r="L29" s="7"/>
      <x:c r="M29" s="14" t="str">
        <x:f>IF(A29="","",IF(COUNTIF($A$7:$A$106,A29)&lt;&gt;1,"Duplicate scope ID",IF(OR(K29="",L29=""),"Missing cause or revision evidence",IF(AND(I29&lt;&gt;"",NOT(ISNUMBER(I29))),"Non-numeric other change",IF(AND(ISNUMBER(G29),ISNUMBER(H29)),IF(D29="","Missing quantity unit",""),IF(AND(B29="",C29="",E29="",F29="",ISNUMBER(I29)),"","Incomplete change inputs"))))))</x:f>
      </x:c>
    </x:row>
    <x:row r="30" ht="26" customHeight="1">
      <x:c r="A30" s="16"/>
      <x:c r="B30" s="7"/>
      <x:c r="C30" s="7"/>
      <x:c r="D30" s="7"/>
      <x:c r="E30" s="8"/>
      <x:c r="F30" s="8"/>
      <x:c r="G30" s="15" t="str">
        <x:f>IF(A30="","",IF(AND(ISNUMBER(B30),ISNUMBER(C30),ISNUMBER(E30)),(C30-B30)*E30,""))</x:f>
      </x:c>
      <x:c r="H30" s="15" t="str">
        <x:f>IF(A30="","",IF(AND(ISNUMBER(C30),ISNUMBER(E30),ISNUMBER(F30)),C30*(F30-E30),""))</x:f>
      </x:c>
      <x:c r="I30" s="8"/>
      <x:c r="J30" s="15" t="str">
        <x:f>IF(OR(A30="",M30&lt;&gt;""),"",SUM(G30:I30))</x:f>
      </x:c>
      <x:c r="K30" s="7"/>
      <x:c r="L30" s="7"/>
      <x:c r="M30" s="14" t="str">
        <x:f>IF(A30="","",IF(COUNTIF($A$7:$A$106,A30)&lt;&gt;1,"Duplicate scope ID",IF(OR(K30="",L30=""),"Missing cause or revision evidence",IF(AND(I30&lt;&gt;"",NOT(ISNUMBER(I30))),"Non-numeric other change",IF(AND(ISNUMBER(G30),ISNUMBER(H30)),IF(D30="","Missing quantity unit",""),IF(AND(B30="",C30="",E30="",F30="",ISNUMBER(I30)),"","Incomplete change inputs"))))))</x:f>
      </x:c>
    </x:row>
    <x:row r="31" ht="26" customHeight="1">
      <x:c r="A31" s="16"/>
      <x:c r="B31" s="7"/>
      <x:c r="C31" s="7"/>
      <x:c r="D31" s="7"/>
      <x:c r="E31" s="8"/>
      <x:c r="F31" s="8"/>
      <x:c r="G31" s="15" t="str">
        <x:f>IF(A31="","",IF(AND(ISNUMBER(B31),ISNUMBER(C31),ISNUMBER(E31)),(C31-B31)*E31,""))</x:f>
      </x:c>
      <x:c r="H31" s="15" t="str">
        <x:f>IF(A31="","",IF(AND(ISNUMBER(C31),ISNUMBER(E31),ISNUMBER(F31)),C31*(F31-E31),""))</x:f>
      </x:c>
      <x:c r="I31" s="8"/>
      <x:c r="J31" s="15" t="str">
        <x:f>IF(OR(A31="",M31&lt;&gt;""),"",SUM(G31:I31))</x:f>
      </x:c>
      <x:c r="K31" s="7"/>
      <x:c r="L31" s="7"/>
      <x:c r="M31" s="14" t="str">
        <x:f>IF(A31="","",IF(COUNTIF($A$7:$A$106,A31)&lt;&gt;1,"Duplicate scope ID",IF(OR(K31="",L31=""),"Missing cause or revision evidence",IF(AND(I31&lt;&gt;"",NOT(ISNUMBER(I31))),"Non-numeric other change",IF(AND(ISNUMBER(G31),ISNUMBER(H31)),IF(D31="","Missing quantity unit",""),IF(AND(B31="",C31="",E31="",F31="",ISNUMBER(I31)),"","Incomplete change inputs"))))))</x:f>
      </x:c>
    </x:row>
    <x:row r="32" ht="26" customHeight="1">
      <x:c r="A32" s="16"/>
      <x:c r="B32" s="7"/>
      <x:c r="C32" s="7"/>
      <x:c r="D32" s="7"/>
      <x:c r="E32" s="8"/>
      <x:c r="F32" s="8"/>
      <x:c r="G32" s="15" t="str">
        <x:f>IF(A32="","",IF(AND(ISNUMBER(B32),ISNUMBER(C32),ISNUMBER(E32)),(C32-B32)*E32,""))</x:f>
      </x:c>
      <x:c r="H32" s="15" t="str">
        <x:f>IF(A32="","",IF(AND(ISNUMBER(C32),ISNUMBER(E32),ISNUMBER(F32)),C32*(F32-E32),""))</x:f>
      </x:c>
      <x:c r="I32" s="8"/>
      <x:c r="J32" s="15" t="str">
        <x:f>IF(OR(A32="",M32&lt;&gt;""),"",SUM(G32:I32))</x:f>
      </x:c>
      <x:c r="K32" s="7"/>
      <x:c r="L32" s="7"/>
      <x:c r="M32" s="14" t="str">
        <x:f>IF(A32="","",IF(COUNTIF($A$7:$A$106,A32)&lt;&gt;1,"Duplicate scope ID",IF(OR(K32="",L32=""),"Missing cause or revision evidence",IF(AND(I32&lt;&gt;"",NOT(ISNUMBER(I32))),"Non-numeric other change",IF(AND(ISNUMBER(G32),ISNUMBER(H32)),IF(D32="","Missing quantity unit",""),IF(AND(B32="",C32="",E32="",F32="",ISNUMBER(I32)),"","Incomplete change inputs"))))))</x:f>
      </x:c>
    </x:row>
    <x:row r="33" ht="26" customHeight="1">
      <x:c r="A33" s="16"/>
      <x:c r="B33" s="7"/>
      <x:c r="C33" s="7"/>
      <x:c r="D33" s="7"/>
      <x:c r="E33" s="8"/>
      <x:c r="F33" s="8"/>
      <x:c r="G33" s="15" t="str">
        <x:f>IF(A33="","",IF(AND(ISNUMBER(B33),ISNUMBER(C33),ISNUMBER(E33)),(C33-B33)*E33,""))</x:f>
      </x:c>
      <x:c r="H33" s="15" t="str">
        <x:f>IF(A33="","",IF(AND(ISNUMBER(C33),ISNUMBER(E33),ISNUMBER(F33)),C33*(F33-E33),""))</x:f>
      </x:c>
      <x:c r="I33" s="8"/>
      <x:c r="J33" s="15" t="str">
        <x:f>IF(OR(A33="",M33&lt;&gt;""),"",SUM(G33:I33))</x:f>
      </x:c>
      <x:c r="K33" s="7"/>
      <x:c r="L33" s="7"/>
      <x:c r="M33" s="14" t="str">
        <x:f>IF(A33="","",IF(COUNTIF($A$7:$A$106,A33)&lt;&gt;1,"Duplicate scope ID",IF(OR(K33="",L33=""),"Missing cause or revision evidence",IF(AND(I33&lt;&gt;"",NOT(ISNUMBER(I33))),"Non-numeric other change",IF(AND(ISNUMBER(G33),ISNUMBER(H33)),IF(D33="","Missing quantity unit",""),IF(AND(B33="",C33="",E33="",F33="",ISNUMBER(I33)),"","Incomplete change inputs"))))))</x:f>
      </x:c>
    </x:row>
    <x:row r="34" ht="26" customHeight="1">
      <x:c r="A34" s="16"/>
      <x:c r="B34" s="7"/>
      <x:c r="C34" s="7"/>
      <x:c r="D34" s="7"/>
      <x:c r="E34" s="8"/>
      <x:c r="F34" s="8"/>
      <x:c r="G34" s="15" t="str">
        <x:f>IF(A34="","",IF(AND(ISNUMBER(B34),ISNUMBER(C34),ISNUMBER(E34)),(C34-B34)*E34,""))</x:f>
      </x:c>
      <x:c r="H34" s="15" t="str">
        <x:f>IF(A34="","",IF(AND(ISNUMBER(C34),ISNUMBER(E34),ISNUMBER(F34)),C34*(F34-E34),""))</x:f>
      </x:c>
      <x:c r="I34" s="8"/>
      <x:c r="J34" s="15" t="str">
        <x:f>IF(OR(A34="",M34&lt;&gt;""),"",SUM(G34:I34))</x:f>
      </x:c>
      <x:c r="K34" s="7"/>
      <x:c r="L34" s="7"/>
      <x:c r="M34" s="14" t="str">
        <x:f>IF(A34="","",IF(COUNTIF($A$7:$A$106,A34)&lt;&gt;1,"Duplicate scope ID",IF(OR(K34="",L34=""),"Missing cause or revision evidence",IF(AND(I34&lt;&gt;"",NOT(ISNUMBER(I34))),"Non-numeric other change",IF(AND(ISNUMBER(G34),ISNUMBER(H34)),IF(D34="","Missing quantity unit",""),IF(AND(B34="",C34="",E34="",F34="",ISNUMBER(I34)),"","Incomplete change inputs"))))))</x:f>
      </x:c>
    </x:row>
    <x:row r="35" ht="26" customHeight="1">
      <x:c r="A35" s="16"/>
      <x:c r="B35" s="7"/>
      <x:c r="C35" s="7"/>
      <x:c r="D35" s="7"/>
      <x:c r="E35" s="8"/>
      <x:c r="F35" s="8"/>
      <x:c r="G35" s="15" t="str">
        <x:f>IF(A35="","",IF(AND(ISNUMBER(B35),ISNUMBER(C35),ISNUMBER(E35)),(C35-B35)*E35,""))</x:f>
      </x:c>
      <x:c r="H35" s="15" t="str">
        <x:f>IF(A35="","",IF(AND(ISNUMBER(C35),ISNUMBER(E35),ISNUMBER(F35)),C35*(F35-E35),""))</x:f>
      </x:c>
      <x:c r="I35" s="8"/>
      <x:c r="J35" s="15" t="str">
        <x:f>IF(OR(A35="",M35&lt;&gt;""),"",SUM(G35:I35))</x:f>
      </x:c>
      <x:c r="K35" s="7"/>
      <x:c r="L35" s="7"/>
      <x:c r="M35" s="14" t="str">
        <x:f>IF(A35="","",IF(COUNTIF($A$7:$A$106,A35)&lt;&gt;1,"Duplicate scope ID",IF(OR(K35="",L35=""),"Missing cause or revision evidence",IF(AND(I35&lt;&gt;"",NOT(ISNUMBER(I35))),"Non-numeric other change",IF(AND(ISNUMBER(G35),ISNUMBER(H35)),IF(D35="","Missing quantity unit",""),IF(AND(B35="",C35="",E35="",F35="",ISNUMBER(I35)),"","Incomplete change inputs"))))))</x:f>
      </x:c>
    </x:row>
    <x:row r="36" ht="26" customHeight="1">
      <x:c r="A36" s="16"/>
      <x:c r="B36" s="7"/>
      <x:c r="C36" s="7"/>
      <x:c r="D36" s="7"/>
      <x:c r="E36" s="8"/>
      <x:c r="F36" s="8"/>
      <x:c r="G36" s="15" t="str">
        <x:f>IF(A36="","",IF(AND(ISNUMBER(B36),ISNUMBER(C36),ISNUMBER(E36)),(C36-B36)*E36,""))</x:f>
      </x:c>
      <x:c r="H36" s="15" t="str">
        <x:f>IF(A36="","",IF(AND(ISNUMBER(C36),ISNUMBER(E36),ISNUMBER(F36)),C36*(F36-E36),""))</x:f>
      </x:c>
      <x:c r="I36" s="8"/>
      <x:c r="J36" s="15" t="str">
        <x:f>IF(OR(A36="",M36&lt;&gt;""),"",SUM(G36:I36))</x:f>
      </x:c>
      <x:c r="K36" s="7"/>
      <x:c r="L36" s="7"/>
      <x:c r="M36" s="14" t="str">
        <x:f>IF(A36="","",IF(COUNTIF($A$7:$A$106,A36)&lt;&gt;1,"Duplicate scope ID",IF(OR(K36="",L36=""),"Missing cause or revision evidence",IF(AND(I36&lt;&gt;"",NOT(ISNUMBER(I36))),"Non-numeric other change",IF(AND(ISNUMBER(G36),ISNUMBER(H36)),IF(D36="","Missing quantity unit",""),IF(AND(B36="",C36="",E36="",F36="",ISNUMBER(I36)),"","Incomplete change inputs"))))))</x:f>
      </x:c>
    </x:row>
    <x:row r="37" ht="26" customHeight="1">
      <x:c r="A37" s="16"/>
      <x:c r="B37" s="7"/>
      <x:c r="C37" s="7"/>
      <x:c r="D37" s="7"/>
      <x:c r="E37" s="8"/>
      <x:c r="F37" s="8"/>
      <x:c r="G37" s="15" t="str">
        <x:f>IF(A37="","",IF(AND(ISNUMBER(B37),ISNUMBER(C37),ISNUMBER(E37)),(C37-B37)*E37,""))</x:f>
      </x:c>
      <x:c r="H37" s="15" t="str">
        <x:f>IF(A37="","",IF(AND(ISNUMBER(C37),ISNUMBER(E37),ISNUMBER(F37)),C37*(F37-E37),""))</x:f>
      </x:c>
      <x:c r="I37" s="8"/>
      <x:c r="J37" s="15" t="str">
        <x:f>IF(OR(A37="",M37&lt;&gt;""),"",SUM(G37:I37))</x:f>
      </x:c>
      <x:c r="K37" s="7"/>
      <x:c r="L37" s="7"/>
      <x:c r="M37" s="14" t="str">
        <x:f>IF(A37="","",IF(COUNTIF($A$7:$A$106,A37)&lt;&gt;1,"Duplicate scope ID",IF(OR(K37="",L37=""),"Missing cause or revision evidence",IF(AND(I37&lt;&gt;"",NOT(ISNUMBER(I37))),"Non-numeric other change",IF(AND(ISNUMBER(G37),ISNUMBER(H37)),IF(D37="","Missing quantity unit",""),IF(AND(B37="",C37="",E37="",F37="",ISNUMBER(I37)),"","Incomplete change inputs"))))))</x:f>
      </x:c>
    </x:row>
    <x:row r="38" ht="26" customHeight="1">
      <x:c r="A38" s="16"/>
      <x:c r="B38" s="7"/>
      <x:c r="C38" s="7"/>
      <x:c r="D38" s="7"/>
      <x:c r="E38" s="8"/>
      <x:c r="F38" s="8"/>
      <x:c r="G38" s="15" t="str">
        <x:f>IF(A38="","",IF(AND(ISNUMBER(B38),ISNUMBER(C38),ISNUMBER(E38)),(C38-B38)*E38,""))</x:f>
      </x:c>
      <x:c r="H38" s="15" t="str">
        <x:f>IF(A38="","",IF(AND(ISNUMBER(C38),ISNUMBER(E38),ISNUMBER(F38)),C38*(F38-E38),""))</x:f>
      </x:c>
      <x:c r="I38" s="8"/>
      <x:c r="J38" s="15" t="str">
        <x:f>IF(OR(A38="",M38&lt;&gt;""),"",SUM(G38:I38))</x:f>
      </x:c>
      <x:c r="K38" s="7"/>
      <x:c r="L38" s="7"/>
      <x:c r="M38" s="14" t="str">
        <x:f>IF(A38="","",IF(COUNTIF($A$7:$A$106,A38)&lt;&gt;1,"Duplicate scope ID",IF(OR(K38="",L38=""),"Missing cause or revision evidence",IF(AND(I38&lt;&gt;"",NOT(ISNUMBER(I38))),"Non-numeric other change",IF(AND(ISNUMBER(G38),ISNUMBER(H38)),IF(D38="","Missing quantity unit",""),IF(AND(B38="",C38="",E38="",F38="",ISNUMBER(I38)),"","Incomplete change inputs"))))))</x:f>
      </x:c>
    </x:row>
    <x:row r="39" ht="26" customHeight="1">
      <x:c r="A39" s="16"/>
      <x:c r="B39" s="7"/>
      <x:c r="C39" s="7"/>
      <x:c r="D39" s="7"/>
      <x:c r="E39" s="8"/>
      <x:c r="F39" s="8"/>
      <x:c r="G39" s="15" t="str">
        <x:f>IF(A39="","",IF(AND(ISNUMBER(B39),ISNUMBER(C39),ISNUMBER(E39)),(C39-B39)*E39,""))</x:f>
      </x:c>
      <x:c r="H39" s="15" t="str">
        <x:f>IF(A39="","",IF(AND(ISNUMBER(C39),ISNUMBER(E39),ISNUMBER(F39)),C39*(F39-E39),""))</x:f>
      </x:c>
      <x:c r="I39" s="8"/>
      <x:c r="J39" s="15" t="str">
        <x:f>IF(OR(A39="",M39&lt;&gt;""),"",SUM(G39:I39))</x:f>
      </x:c>
      <x:c r="K39" s="7"/>
      <x:c r="L39" s="7"/>
      <x:c r="M39" s="14" t="str">
        <x:f>IF(A39="","",IF(COUNTIF($A$7:$A$106,A39)&lt;&gt;1,"Duplicate scope ID",IF(OR(K39="",L39=""),"Missing cause or revision evidence",IF(AND(I39&lt;&gt;"",NOT(ISNUMBER(I39))),"Non-numeric other change",IF(AND(ISNUMBER(G39),ISNUMBER(H39)),IF(D39="","Missing quantity unit",""),IF(AND(B39="",C39="",E39="",F39="",ISNUMBER(I39)),"","Incomplete change inputs"))))))</x:f>
      </x:c>
    </x:row>
    <x:row r="40" ht="26" customHeight="1">
      <x:c r="A40" s="16"/>
      <x:c r="B40" s="7"/>
      <x:c r="C40" s="7"/>
      <x:c r="D40" s="7"/>
      <x:c r="E40" s="8"/>
      <x:c r="F40" s="8"/>
      <x:c r="G40" s="15" t="str">
        <x:f>IF(A40="","",IF(AND(ISNUMBER(B40),ISNUMBER(C40),ISNUMBER(E40)),(C40-B40)*E40,""))</x:f>
      </x:c>
      <x:c r="H40" s="15" t="str">
        <x:f>IF(A40="","",IF(AND(ISNUMBER(C40),ISNUMBER(E40),ISNUMBER(F40)),C40*(F40-E40),""))</x:f>
      </x:c>
      <x:c r="I40" s="8"/>
      <x:c r="J40" s="15" t="str">
        <x:f>IF(OR(A40="",M40&lt;&gt;""),"",SUM(G40:I40))</x:f>
      </x:c>
      <x:c r="K40" s="7"/>
      <x:c r="L40" s="7"/>
      <x:c r="M40" s="14" t="str">
        <x:f>IF(A40="","",IF(COUNTIF($A$7:$A$106,A40)&lt;&gt;1,"Duplicate scope ID",IF(OR(K40="",L40=""),"Missing cause or revision evidence",IF(AND(I40&lt;&gt;"",NOT(ISNUMBER(I40))),"Non-numeric other change",IF(AND(ISNUMBER(G40),ISNUMBER(H40)),IF(D40="","Missing quantity unit",""),IF(AND(B40="",C40="",E40="",F40="",ISNUMBER(I40)),"","Incomplete change inputs"))))))</x:f>
      </x:c>
    </x:row>
    <x:row r="41" ht="26" customHeight="1">
      <x:c r="A41" s="16"/>
      <x:c r="B41" s="7"/>
      <x:c r="C41" s="7"/>
      <x:c r="D41" s="7"/>
      <x:c r="E41" s="8"/>
      <x:c r="F41" s="8"/>
      <x:c r="G41" s="15" t="str">
        <x:f>IF(A41="","",IF(AND(ISNUMBER(B41),ISNUMBER(C41),ISNUMBER(E41)),(C41-B41)*E41,""))</x:f>
      </x:c>
      <x:c r="H41" s="15" t="str">
        <x:f>IF(A41="","",IF(AND(ISNUMBER(C41),ISNUMBER(E41),ISNUMBER(F41)),C41*(F41-E41),""))</x:f>
      </x:c>
      <x:c r="I41" s="8"/>
      <x:c r="J41" s="15" t="str">
        <x:f>IF(OR(A41="",M41&lt;&gt;""),"",SUM(G41:I41))</x:f>
      </x:c>
      <x:c r="K41" s="7"/>
      <x:c r="L41" s="7"/>
      <x:c r="M41" s="14" t="str">
        <x:f>IF(A41="","",IF(COUNTIF($A$7:$A$106,A41)&lt;&gt;1,"Duplicate scope ID",IF(OR(K41="",L41=""),"Missing cause or revision evidence",IF(AND(I41&lt;&gt;"",NOT(ISNUMBER(I41))),"Non-numeric other change",IF(AND(ISNUMBER(G41),ISNUMBER(H41)),IF(D41="","Missing quantity unit",""),IF(AND(B41="",C41="",E41="",F41="",ISNUMBER(I41)),"","Incomplete change inputs"))))))</x:f>
      </x:c>
    </x:row>
    <x:row r="42" ht="26" customHeight="1">
      <x:c r="A42" s="16"/>
      <x:c r="B42" s="7"/>
      <x:c r="C42" s="7"/>
      <x:c r="D42" s="7"/>
      <x:c r="E42" s="8"/>
      <x:c r="F42" s="8"/>
      <x:c r="G42" s="15" t="str">
        <x:f>IF(A42="","",IF(AND(ISNUMBER(B42),ISNUMBER(C42),ISNUMBER(E42)),(C42-B42)*E42,""))</x:f>
      </x:c>
      <x:c r="H42" s="15" t="str">
        <x:f>IF(A42="","",IF(AND(ISNUMBER(C42),ISNUMBER(E42),ISNUMBER(F42)),C42*(F42-E42),""))</x:f>
      </x:c>
      <x:c r="I42" s="8"/>
      <x:c r="J42" s="15" t="str">
        <x:f>IF(OR(A42="",M42&lt;&gt;""),"",SUM(G42:I42))</x:f>
      </x:c>
      <x:c r="K42" s="7"/>
      <x:c r="L42" s="7"/>
      <x:c r="M42" s="14" t="str">
        <x:f>IF(A42="","",IF(COUNTIF($A$7:$A$106,A42)&lt;&gt;1,"Duplicate scope ID",IF(OR(K42="",L42=""),"Missing cause or revision evidence",IF(AND(I42&lt;&gt;"",NOT(ISNUMBER(I42))),"Non-numeric other change",IF(AND(ISNUMBER(G42),ISNUMBER(H42)),IF(D42="","Missing quantity unit",""),IF(AND(B42="",C42="",E42="",F42="",ISNUMBER(I42)),"","Incomplete change inputs"))))))</x:f>
      </x:c>
    </x:row>
    <x:row r="43" ht="26" customHeight="1">
      <x:c r="A43" s="16"/>
      <x:c r="B43" s="7"/>
      <x:c r="C43" s="7"/>
      <x:c r="D43" s="7"/>
      <x:c r="E43" s="8"/>
      <x:c r="F43" s="8"/>
      <x:c r="G43" s="15" t="str">
        <x:f>IF(A43="","",IF(AND(ISNUMBER(B43),ISNUMBER(C43),ISNUMBER(E43)),(C43-B43)*E43,""))</x:f>
      </x:c>
      <x:c r="H43" s="15" t="str">
        <x:f>IF(A43="","",IF(AND(ISNUMBER(C43),ISNUMBER(E43),ISNUMBER(F43)),C43*(F43-E43),""))</x:f>
      </x:c>
      <x:c r="I43" s="8"/>
      <x:c r="J43" s="15" t="str">
        <x:f>IF(OR(A43="",M43&lt;&gt;""),"",SUM(G43:I43))</x:f>
      </x:c>
      <x:c r="K43" s="7"/>
      <x:c r="L43" s="7"/>
      <x:c r="M43" s="14" t="str">
        <x:f>IF(A43="","",IF(COUNTIF($A$7:$A$106,A43)&lt;&gt;1,"Duplicate scope ID",IF(OR(K43="",L43=""),"Missing cause or revision evidence",IF(AND(I43&lt;&gt;"",NOT(ISNUMBER(I43))),"Non-numeric other change",IF(AND(ISNUMBER(G43),ISNUMBER(H43)),IF(D43="","Missing quantity unit",""),IF(AND(B43="",C43="",E43="",F43="",ISNUMBER(I43)),"","Incomplete change inputs"))))))</x:f>
      </x:c>
    </x:row>
    <x:row r="44" ht="26" customHeight="1">
      <x:c r="A44" s="16"/>
      <x:c r="B44" s="7"/>
      <x:c r="C44" s="7"/>
      <x:c r="D44" s="7"/>
      <x:c r="E44" s="8"/>
      <x:c r="F44" s="8"/>
      <x:c r="G44" s="15" t="str">
        <x:f>IF(A44="","",IF(AND(ISNUMBER(B44),ISNUMBER(C44),ISNUMBER(E44)),(C44-B44)*E44,""))</x:f>
      </x:c>
      <x:c r="H44" s="15" t="str">
        <x:f>IF(A44="","",IF(AND(ISNUMBER(C44),ISNUMBER(E44),ISNUMBER(F44)),C44*(F44-E44),""))</x:f>
      </x:c>
      <x:c r="I44" s="8"/>
      <x:c r="J44" s="15" t="str">
        <x:f>IF(OR(A44="",M44&lt;&gt;""),"",SUM(G44:I44))</x:f>
      </x:c>
      <x:c r="K44" s="7"/>
      <x:c r="L44" s="7"/>
      <x:c r="M44" s="14" t="str">
        <x:f>IF(A44="","",IF(COUNTIF($A$7:$A$106,A44)&lt;&gt;1,"Duplicate scope ID",IF(OR(K44="",L44=""),"Missing cause or revision evidence",IF(AND(I44&lt;&gt;"",NOT(ISNUMBER(I44))),"Non-numeric other change",IF(AND(ISNUMBER(G44),ISNUMBER(H44)),IF(D44="","Missing quantity unit",""),IF(AND(B44="",C44="",E44="",F44="",ISNUMBER(I44)),"","Incomplete change inputs"))))))</x:f>
      </x:c>
    </x:row>
    <x:row r="45" ht="26" customHeight="1">
      <x:c r="A45" s="16"/>
      <x:c r="B45" s="7"/>
      <x:c r="C45" s="7"/>
      <x:c r="D45" s="7"/>
      <x:c r="E45" s="8"/>
      <x:c r="F45" s="8"/>
      <x:c r="G45" s="15" t="str">
        <x:f>IF(A45="","",IF(AND(ISNUMBER(B45),ISNUMBER(C45),ISNUMBER(E45)),(C45-B45)*E45,""))</x:f>
      </x:c>
      <x:c r="H45" s="15" t="str">
        <x:f>IF(A45="","",IF(AND(ISNUMBER(C45),ISNUMBER(E45),ISNUMBER(F45)),C45*(F45-E45),""))</x:f>
      </x:c>
      <x:c r="I45" s="8"/>
      <x:c r="J45" s="15" t="str">
        <x:f>IF(OR(A45="",M45&lt;&gt;""),"",SUM(G45:I45))</x:f>
      </x:c>
      <x:c r="K45" s="7"/>
      <x:c r="L45" s="7"/>
      <x:c r="M45" s="14" t="str">
        <x:f>IF(A45="","",IF(COUNTIF($A$7:$A$106,A45)&lt;&gt;1,"Duplicate scope ID",IF(OR(K45="",L45=""),"Missing cause or revision evidence",IF(AND(I45&lt;&gt;"",NOT(ISNUMBER(I45))),"Non-numeric other change",IF(AND(ISNUMBER(G45),ISNUMBER(H45)),IF(D45="","Missing quantity unit",""),IF(AND(B45="",C45="",E45="",F45="",ISNUMBER(I45)),"","Incomplete change inputs"))))))</x:f>
      </x:c>
    </x:row>
    <x:row r="46" ht="26" customHeight="1">
      <x:c r="A46" s="16"/>
      <x:c r="B46" s="7"/>
      <x:c r="C46" s="7"/>
      <x:c r="D46" s="7"/>
      <x:c r="E46" s="8"/>
      <x:c r="F46" s="8"/>
      <x:c r="G46" s="15" t="str">
        <x:f>IF(A46="","",IF(AND(ISNUMBER(B46),ISNUMBER(C46),ISNUMBER(E46)),(C46-B46)*E46,""))</x:f>
      </x:c>
      <x:c r="H46" s="15" t="str">
        <x:f>IF(A46="","",IF(AND(ISNUMBER(C46),ISNUMBER(E46),ISNUMBER(F46)),C46*(F46-E46),""))</x:f>
      </x:c>
      <x:c r="I46" s="8"/>
      <x:c r="J46" s="15" t="str">
        <x:f>IF(OR(A46="",M46&lt;&gt;""),"",SUM(G46:I46))</x:f>
      </x:c>
      <x:c r="K46" s="7"/>
      <x:c r="L46" s="7"/>
      <x:c r="M46" s="14" t="str">
        <x:f>IF(A46="","",IF(COUNTIF($A$7:$A$106,A46)&lt;&gt;1,"Duplicate scope ID",IF(OR(K46="",L46=""),"Missing cause or revision evidence",IF(AND(I46&lt;&gt;"",NOT(ISNUMBER(I46))),"Non-numeric other change",IF(AND(ISNUMBER(G46),ISNUMBER(H46)),IF(D46="","Missing quantity unit",""),IF(AND(B46="",C46="",E46="",F46="",ISNUMBER(I46)),"","Incomplete change inputs"))))))</x:f>
      </x:c>
    </x:row>
    <x:row r="47" ht="26" customHeight="1">
      <x:c r="A47" s="16"/>
      <x:c r="B47" s="7"/>
      <x:c r="C47" s="7"/>
      <x:c r="D47" s="7"/>
      <x:c r="E47" s="8"/>
      <x:c r="F47" s="8"/>
      <x:c r="G47" s="15" t="str">
        <x:f>IF(A47="","",IF(AND(ISNUMBER(B47),ISNUMBER(C47),ISNUMBER(E47)),(C47-B47)*E47,""))</x:f>
      </x:c>
      <x:c r="H47" s="15" t="str">
        <x:f>IF(A47="","",IF(AND(ISNUMBER(C47),ISNUMBER(E47),ISNUMBER(F47)),C47*(F47-E47),""))</x:f>
      </x:c>
      <x:c r="I47" s="8"/>
      <x:c r="J47" s="15" t="str">
        <x:f>IF(OR(A47="",M47&lt;&gt;""),"",SUM(G47:I47))</x:f>
      </x:c>
      <x:c r="K47" s="7"/>
      <x:c r="L47" s="7"/>
      <x:c r="M47" s="14" t="str">
        <x:f>IF(A47="","",IF(COUNTIF($A$7:$A$106,A47)&lt;&gt;1,"Duplicate scope ID",IF(OR(K47="",L47=""),"Missing cause or revision evidence",IF(AND(I47&lt;&gt;"",NOT(ISNUMBER(I47))),"Non-numeric other change",IF(AND(ISNUMBER(G47),ISNUMBER(H47)),IF(D47="","Missing quantity unit",""),IF(AND(B47="",C47="",E47="",F47="",ISNUMBER(I47)),"","Incomplete change inputs"))))))</x:f>
      </x:c>
    </x:row>
    <x:row r="48" ht="26" customHeight="1">
      <x:c r="A48" s="16"/>
      <x:c r="B48" s="7"/>
      <x:c r="C48" s="7"/>
      <x:c r="D48" s="7"/>
      <x:c r="E48" s="8"/>
      <x:c r="F48" s="8"/>
      <x:c r="G48" s="15" t="str">
        <x:f>IF(A48="","",IF(AND(ISNUMBER(B48),ISNUMBER(C48),ISNUMBER(E48)),(C48-B48)*E48,""))</x:f>
      </x:c>
      <x:c r="H48" s="15" t="str">
        <x:f>IF(A48="","",IF(AND(ISNUMBER(C48),ISNUMBER(E48),ISNUMBER(F48)),C48*(F48-E48),""))</x:f>
      </x:c>
      <x:c r="I48" s="8"/>
      <x:c r="J48" s="15" t="str">
        <x:f>IF(OR(A48="",M48&lt;&gt;""),"",SUM(G48:I48))</x:f>
      </x:c>
      <x:c r="K48" s="7"/>
      <x:c r="L48" s="7"/>
      <x:c r="M48" s="14" t="str">
        <x:f>IF(A48="","",IF(COUNTIF($A$7:$A$106,A48)&lt;&gt;1,"Duplicate scope ID",IF(OR(K48="",L48=""),"Missing cause or revision evidence",IF(AND(I48&lt;&gt;"",NOT(ISNUMBER(I48))),"Non-numeric other change",IF(AND(ISNUMBER(G48),ISNUMBER(H48)),IF(D48="","Missing quantity unit",""),IF(AND(B48="",C48="",E48="",F48="",ISNUMBER(I48)),"","Incomplete change inputs"))))))</x:f>
      </x:c>
    </x:row>
    <x:row r="49" ht="26" customHeight="1">
      <x:c r="A49" s="16"/>
      <x:c r="B49" s="7"/>
      <x:c r="C49" s="7"/>
      <x:c r="D49" s="7"/>
      <x:c r="E49" s="8"/>
      <x:c r="F49" s="8"/>
      <x:c r="G49" s="15" t="str">
        <x:f>IF(A49="","",IF(AND(ISNUMBER(B49),ISNUMBER(C49),ISNUMBER(E49)),(C49-B49)*E49,""))</x:f>
      </x:c>
      <x:c r="H49" s="15" t="str">
        <x:f>IF(A49="","",IF(AND(ISNUMBER(C49),ISNUMBER(E49),ISNUMBER(F49)),C49*(F49-E49),""))</x:f>
      </x:c>
      <x:c r="I49" s="8"/>
      <x:c r="J49" s="15" t="str">
        <x:f>IF(OR(A49="",M49&lt;&gt;""),"",SUM(G49:I49))</x:f>
      </x:c>
      <x:c r="K49" s="7"/>
      <x:c r="L49" s="7"/>
      <x:c r="M49" s="14" t="str">
        <x:f>IF(A49="","",IF(COUNTIF($A$7:$A$106,A49)&lt;&gt;1,"Duplicate scope ID",IF(OR(K49="",L49=""),"Missing cause or revision evidence",IF(AND(I49&lt;&gt;"",NOT(ISNUMBER(I49))),"Non-numeric other change",IF(AND(ISNUMBER(G49),ISNUMBER(H49)),IF(D49="","Missing quantity unit",""),IF(AND(B49="",C49="",E49="",F49="",ISNUMBER(I49)),"","Incomplete change inputs"))))))</x:f>
      </x:c>
    </x:row>
    <x:row r="50" ht="26" customHeight="1">
      <x:c r="A50" s="16"/>
      <x:c r="B50" s="7"/>
      <x:c r="C50" s="7"/>
      <x:c r="D50" s="7"/>
      <x:c r="E50" s="8"/>
      <x:c r="F50" s="8"/>
      <x:c r="G50" s="15" t="str">
        <x:f>IF(A50="","",IF(AND(ISNUMBER(B50),ISNUMBER(C50),ISNUMBER(E50)),(C50-B50)*E50,""))</x:f>
      </x:c>
      <x:c r="H50" s="15" t="str">
        <x:f>IF(A50="","",IF(AND(ISNUMBER(C50),ISNUMBER(E50),ISNUMBER(F50)),C50*(F50-E50),""))</x:f>
      </x:c>
      <x:c r="I50" s="8"/>
      <x:c r="J50" s="15" t="str">
        <x:f>IF(OR(A50="",M50&lt;&gt;""),"",SUM(G50:I50))</x:f>
      </x:c>
      <x:c r="K50" s="7"/>
      <x:c r="L50" s="7"/>
      <x:c r="M50" s="14" t="str">
        <x:f>IF(A50="","",IF(COUNTIF($A$7:$A$106,A50)&lt;&gt;1,"Duplicate scope ID",IF(OR(K50="",L50=""),"Missing cause or revision evidence",IF(AND(I50&lt;&gt;"",NOT(ISNUMBER(I50))),"Non-numeric other change",IF(AND(ISNUMBER(G50),ISNUMBER(H50)),IF(D50="","Missing quantity unit",""),IF(AND(B50="",C50="",E50="",F50="",ISNUMBER(I50)),"","Incomplete change inputs"))))))</x:f>
      </x:c>
    </x:row>
    <x:row r="51" ht="26" customHeight="1">
      <x:c r="A51" s="16"/>
      <x:c r="B51" s="7"/>
      <x:c r="C51" s="7"/>
      <x:c r="D51" s="7"/>
      <x:c r="E51" s="8"/>
      <x:c r="F51" s="8"/>
      <x:c r="G51" s="15" t="str">
        <x:f>IF(A51="","",IF(AND(ISNUMBER(B51),ISNUMBER(C51),ISNUMBER(E51)),(C51-B51)*E51,""))</x:f>
      </x:c>
      <x:c r="H51" s="15" t="str">
        <x:f>IF(A51="","",IF(AND(ISNUMBER(C51),ISNUMBER(E51),ISNUMBER(F51)),C51*(F51-E51),""))</x:f>
      </x:c>
      <x:c r="I51" s="8"/>
      <x:c r="J51" s="15" t="str">
        <x:f>IF(OR(A51="",M51&lt;&gt;""),"",SUM(G51:I51))</x:f>
      </x:c>
      <x:c r="K51" s="7"/>
      <x:c r="L51" s="7"/>
      <x:c r="M51" s="14" t="str">
        <x:f>IF(A51="","",IF(COUNTIF($A$7:$A$106,A51)&lt;&gt;1,"Duplicate scope ID",IF(OR(K51="",L51=""),"Missing cause or revision evidence",IF(AND(I51&lt;&gt;"",NOT(ISNUMBER(I51))),"Non-numeric other change",IF(AND(ISNUMBER(G51),ISNUMBER(H51)),IF(D51="","Missing quantity unit",""),IF(AND(B51="",C51="",E51="",F51="",ISNUMBER(I51)),"","Incomplete change inputs"))))))</x:f>
      </x:c>
    </x:row>
    <x:row r="52" ht="26" customHeight="1">
      <x:c r="A52" s="16"/>
      <x:c r="B52" s="7"/>
      <x:c r="C52" s="7"/>
      <x:c r="D52" s="7"/>
      <x:c r="E52" s="8"/>
      <x:c r="F52" s="8"/>
      <x:c r="G52" s="15" t="str">
        <x:f>IF(A52="","",IF(AND(ISNUMBER(B52),ISNUMBER(C52),ISNUMBER(E52)),(C52-B52)*E52,""))</x:f>
      </x:c>
      <x:c r="H52" s="15" t="str">
        <x:f>IF(A52="","",IF(AND(ISNUMBER(C52),ISNUMBER(E52),ISNUMBER(F52)),C52*(F52-E52),""))</x:f>
      </x:c>
      <x:c r="I52" s="8"/>
      <x:c r="J52" s="15" t="str">
        <x:f>IF(OR(A52="",M52&lt;&gt;""),"",SUM(G52:I52))</x:f>
      </x:c>
      <x:c r="K52" s="7"/>
      <x:c r="L52" s="7"/>
      <x:c r="M52" s="14" t="str">
        <x:f>IF(A52="","",IF(COUNTIF($A$7:$A$106,A52)&lt;&gt;1,"Duplicate scope ID",IF(OR(K52="",L52=""),"Missing cause or revision evidence",IF(AND(I52&lt;&gt;"",NOT(ISNUMBER(I52))),"Non-numeric other change",IF(AND(ISNUMBER(G52),ISNUMBER(H52)),IF(D52="","Missing quantity unit",""),IF(AND(B52="",C52="",E52="",F52="",ISNUMBER(I52)),"","Incomplete change inputs"))))))</x:f>
      </x:c>
    </x:row>
    <x:row r="53" ht="26" customHeight="1">
      <x:c r="A53" s="16"/>
      <x:c r="B53" s="7"/>
      <x:c r="C53" s="7"/>
      <x:c r="D53" s="7"/>
      <x:c r="E53" s="8"/>
      <x:c r="F53" s="8"/>
      <x:c r="G53" s="15" t="str">
        <x:f>IF(A53="","",IF(AND(ISNUMBER(B53),ISNUMBER(C53),ISNUMBER(E53)),(C53-B53)*E53,""))</x:f>
      </x:c>
      <x:c r="H53" s="15" t="str">
        <x:f>IF(A53="","",IF(AND(ISNUMBER(C53),ISNUMBER(E53),ISNUMBER(F53)),C53*(F53-E53),""))</x:f>
      </x:c>
      <x:c r="I53" s="8"/>
      <x:c r="J53" s="15" t="str">
        <x:f>IF(OR(A53="",M53&lt;&gt;""),"",SUM(G53:I53))</x:f>
      </x:c>
      <x:c r="K53" s="7"/>
      <x:c r="L53" s="7"/>
      <x:c r="M53" s="14" t="str">
        <x:f>IF(A53="","",IF(COUNTIF($A$7:$A$106,A53)&lt;&gt;1,"Duplicate scope ID",IF(OR(K53="",L53=""),"Missing cause or revision evidence",IF(AND(I53&lt;&gt;"",NOT(ISNUMBER(I53))),"Non-numeric other change",IF(AND(ISNUMBER(G53),ISNUMBER(H53)),IF(D53="","Missing quantity unit",""),IF(AND(B53="",C53="",E53="",F53="",ISNUMBER(I53)),"","Incomplete change inputs"))))))</x:f>
      </x:c>
    </x:row>
    <x:row r="54" ht="26" customHeight="1">
      <x:c r="A54" s="16"/>
      <x:c r="B54" s="7"/>
      <x:c r="C54" s="7"/>
      <x:c r="D54" s="7"/>
      <x:c r="E54" s="8"/>
      <x:c r="F54" s="8"/>
      <x:c r="G54" s="15" t="str">
        <x:f>IF(A54="","",IF(AND(ISNUMBER(B54),ISNUMBER(C54),ISNUMBER(E54)),(C54-B54)*E54,""))</x:f>
      </x:c>
      <x:c r="H54" s="15" t="str">
        <x:f>IF(A54="","",IF(AND(ISNUMBER(C54),ISNUMBER(E54),ISNUMBER(F54)),C54*(F54-E54),""))</x:f>
      </x:c>
      <x:c r="I54" s="8"/>
      <x:c r="J54" s="15" t="str">
        <x:f>IF(OR(A54="",M54&lt;&gt;""),"",SUM(G54:I54))</x:f>
      </x:c>
      <x:c r="K54" s="7"/>
      <x:c r="L54" s="7"/>
      <x:c r="M54" s="14" t="str">
        <x:f>IF(A54="","",IF(COUNTIF($A$7:$A$106,A54)&lt;&gt;1,"Duplicate scope ID",IF(OR(K54="",L54=""),"Missing cause or revision evidence",IF(AND(I54&lt;&gt;"",NOT(ISNUMBER(I54))),"Non-numeric other change",IF(AND(ISNUMBER(G54),ISNUMBER(H54)),IF(D54="","Missing quantity unit",""),IF(AND(B54="",C54="",E54="",F54="",ISNUMBER(I54)),"","Incomplete change inputs"))))))</x:f>
      </x:c>
    </x:row>
    <x:row r="55" ht="26" customHeight="1">
      <x:c r="A55" s="16"/>
      <x:c r="B55" s="7"/>
      <x:c r="C55" s="7"/>
      <x:c r="D55" s="7"/>
      <x:c r="E55" s="8"/>
      <x:c r="F55" s="8"/>
      <x:c r="G55" s="15" t="str">
        <x:f>IF(A55="","",IF(AND(ISNUMBER(B55),ISNUMBER(C55),ISNUMBER(E55)),(C55-B55)*E55,""))</x:f>
      </x:c>
      <x:c r="H55" s="15" t="str">
        <x:f>IF(A55="","",IF(AND(ISNUMBER(C55),ISNUMBER(E55),ISNUMBER(F55)),C55*(F55-E55),""))</x:f>
      </x:c>
      <x:c r="I55" s="8"/>
      <x:c r="J55" s="15" t="str">
        <x:f>IF(OR(A55="",M55&lt;&gt;""),"",SUM(G55:I55))</x:f>
      </x:c>
      <x:c r="K55" s="7"/>
      <x:c r="L55" s="7"/>
      <x:c r="M55" s="14" t="str">
        <x:f>IF(A55="","",IF(COUNTIF($A$7:$A$106,A55)&lt;&gt;1,"Duplicate scope ID",IF(OR(K55="",L55=""),"Missing cause or revision evidence",IF(AND(I55&lt;&gt;"",NOT(ISNUMBER(I55))),"Non-numeric other change",IF(AND(ISNUMBER(G55),ISNUMBER(H55)),IF(D55="","Missing quantity unit",""),IF(AND(B55="",C55="",E55="",F55="",ISNUMBER(I55)),"","Incomplete change inputs"))))))</x:f>
      </x:c>
    </x:row>
    <x:row r="56" ht="26" customHeight="1">
      <x:c r="A56" s="16"/>
      <x:c r="B56" s="7"/>
      <x:c r="C56" s="7"/>
      <x:c r="D56" s="7"/>
      <x:c r="E56" s="8"/>
      <x:c r="F56" s="8"/>
      <x:c r="G56" s="15" t="str">
        <x:f>IF(A56="","",IF(AND(ISNUMBER(B56),ISNUMBER(C56),ISNUMBER(E56)),(C56-B56)*E56,""))</x:f>
      </x:c>
      <x:c r="H56" s="15" t="str">
        <x:f>IF(A56="","",IF(AND(ISNUMBER(C56),ISNUMBER(E56),ISNUMBER(F56)),C56*(F56-E56),""))</x:f>
      </x:c>
      <x:c r="I56" s="8"/>
      <x:c r="J56" s="15" t="str">
        <x:f>IF(OR(A56="",M56&lt;&gt;""),"",SUM(G56:I56))</x:f>
      </x:c>
      <x:c r="K56" s="7"/>
      <x:c r="L56" s="7"/>
      <x:c r="M56" s="14" t="str">
        <x:f>IF(A56="","",IF(COUNTIF($A$7:$A$106,A56)&lt;&gt;1,"Duplicate scope ID",IF(OR(K56="",L56=""),"Missing cause or revision evidence",IF(AND(I56&lt;&gt;"",NOT(ISNUMBER(I56))),"Non-numeric other change",IF(AND(ISNUMBER(G56),ISNUMBER(H56)),IF(D56="","Missing quantity unit",""),IF(AND(B56="",C56="",E56="",F56="",ISNUMBER(I56)),"","Incomplete change inputs"))))))</x:f>
      </x:c>
    </x:row>
    <x:row r="57" ht="26" customHeight="1">
      <x:c r="A57" s="16"/>
      <x:c r="B57" s="7"/>
      <x:c r="C57" s="7"/>
      <x:c r="D57" s="7"/>
      <x:c r="E57" s="8"/>
      <x:c r="F57" s="8"/>
      <x:c r="G57" s="15" t="str">
        <x:f>IF(A57="","",IF(AND(ISNUMBER(B57),ISNUMBER(C57),ISNUMBER(E57)),(C57-B57)*E57,""))</x:f>
      </x:c>
      <x:c r="H57" s="15" t="str">
        <x:f>IF(A57="","",IF(AND(ISNUMBER(C57),ISNUMBER(E57),ISNUMBER(F57)),C57*(F57-E57),""))</x:f>
      </x:c>
      <x:c r="I57" s="8"/>
      <x:c r="J57" s="15" t="str">
        <x:f>IF(OR(A57="",M57&lt;&gt;""),"",SUM(G57:I57))</x:f>
      </x:c>
      <x:c r="K57" s="7"/>
      <x:c r="L57" s="7"/>
      <x:c r="M57" s="14" t="str">
        <x:f>IF(A57="","",IF(COUNTIF($A$7:$A$106,A57)&lt;&gt;1,"Duplicate scope ID",IF(OR(K57="",L57=""),"Missing cause or revision evidence",IF(AND(I57&lt;&gt;"",NOT(ISNUMBER(I57))),"Non-numeric other change",IF(AND(ISNUMBER(G57),ISNUMBER(H57)),IF(D57="","Missing quantity unit",""),IF(AND(B57="",C57="",E57="",F57="",ISNUMBER(I57)),"","Incomplete change inputs"))))))</x:f>
      </x:c>
    </x:row>
    <x:row r="58" ht="26" customHeight="1">
      <x:c r="A58" s="16"/>
      <x:c r="B58" s="7"/>
      <x:c r="C58" s="7"/>
      <x:c r="D58" s="7"/>
      <x:c r="E58" s="8"/>
      <x:c r="F58" s="8"/>
      <x:c r="G58" s="15" t="str">
        <x:f>IF(A58="","",IF(AND(ISNUMBER(B58),ISNUMBER(C58),ISNUMBER(E58)),(C58-B58)*E58,""))</x:f>
      </x:c>
      <x:c r="H58" s="15" t="str">
        <x:f>IF(A58="","",IF(AND(ISNUMBER(C58),ISNUMBER(E58),ISNUMBER(F58)),C58*(F58-E58),""))</x:f>
      </x:c>
      <x:c r="I58" s="8"/>
      <x:c r="J58" s="15" t="str">
        <x:f>IF(OR(A58="",M58&lt;&gt;""),"",SUM(G58:I58))</x:f>
      </x:c>
      <x:c r="K58" s="7"/>
      <x:c r="L58" s="7"/>
      <x:c r="M58" s="14" t="str">
        <x:f>IF(A58="","",IF(COUNTIF($A$7:$A$106,A58)&lt;&gt;1,"Duplicate scope ID",IF(OR(K58="",L58=""),"Missing cause or revision evidence",IF(AND(I58&lt;&gt;"",NOT(ISNUMBER(I58))),"Non-numeric other change",IF(AND(ISNUMBER(G58),ISNUMBER(H58)),IF(D58="","Missing quantity unit",""),IF(AND(B58="",C58="",E58="",F58="",ISNUMBER(I58)),"","Incomplete change inputs"))))))</x:f>
      </x:c>
    </x:row>
    <x:row r="59" ht="26" customHeight="1">
      <x:c r="A59" s="16"/>
      <x:c r="B59" s="7"/>
      <x:c r="C59" s="7"/>
      <x:c r="D59" s="7"/>
      <x:c r="E59" s="8"/>
      <x:c r="F59" s="8"/>
      <x:c r="G59" s="15" t="str">
        <x:f>IF(A59="","",IF(AND(ISNUMBER(B59),ISNUMBER(C59),ISNUMBER(E59)),(C59-B59)*E59,""))</x:f>
      </x:c>
      <x:c r="H59" s="15" t="str">
        <x:f>IF(A59="","",IF(AND(ISNUMBER(C59),ISNUMBER(E59),ISNUMBER(F59)),C59*(F59-E59),""))</x:f>
      </x:c>
      <x:c r="I59" s="8"/>
      <x:c r="J59" s="15" t="str">
        <x:f>IF(OR(A59="",M59&lt;&gt;""),"",SUM(G59:I59))</x:f>
      </x:c>
      <x:c r="K59" s="7"/>
      <x:c r="L59" s="7"/>
      <x:c r="M59" s="14" t="str">
        <x:f>IF(A59="","",IF(COUNTIF($A$7:$A$106,A59)&lt;&gt;1,"Duplicate scope ID",IF(OR(K59="",L59=""),"Missing cause or revision evidence",IF(AND(I59&lt;&gt;"",NOT(ISNUMBER(I59))),"Non-numeric other change",IF(AND(ISNUMBER(G59),ISNUMBER(H59)),IF(D59="","Missing quantity unit",""),IF(AND(B59="",C59="",E59="",F59="",ISNUMBER(I59)),"","Incomplete change inputs"))))))</x:f>
      </x:c>
    </x:row>
    <x:row r="60" ht="26" customHeight="1">
      <x:c r="A60" s="16"/>
      <x:c r="B60" s="7"/>
      <x:c r="C60" s="7"/>
      <x:c r="D60" s="7"/>
      <x:c r="E60" s="8"/>
      <x:c r="F60" s="8"/>
      <x:c r="G60" s="15" t="str">
        <x:f>IF(A60="","",IF(AND(ISNUMBER(B60),ISNUMBER(C60),ISNUMBER(E60)),(C60-B60)*E60,""))</x:f>
      </x:c>
      <x:c r="H60" s="15" t="str">
        <x:f>IF(A60="","",IF(AND(ISNUMBER(C60),ISNUMBER(E60),ISNUMBER(F60)),C60*(F60-E60),""))</x:f>
      </x:c>
      <x:c r="I60" s="8"/>
      <x:c r="J60" s="15" t="str">
        <x:f>IF(OR(A60="",M60&lt;&gt;""),"",SUM(G60:I60))</x:f>
      </x:c>
      <x:c r="K60" s="7"/>
      <x:c r="L60" s="7"/>
      <x:c r="M60" s="14" t="str">
        <x:f>IF(A60="","",IF(COUNTIF($A$7:$A$106,A60)&lt;&gt;1,"Duplicate scope ID",IF(OR(K60="",L60=""),"Missing cause or revision evidence",IF(AND(I60&lt;&gt;"",NOT(ISNUMBER(I60))),"Non-numeric other change",IF(AND(ISNUMBER(G60),ISNUMBER(H60)),IF(D60="","Missing quantity unit",""),IF(AND(B60="",C60="",E60="",F60="",ISNUMBER(I60)),"","Incomplete change inputs"))))))</x:f>
      </x:c>
    </x:row>
    <x:row r="61" ht="26" customHeight="1">
      <x:c r="A61" s="16"/>
      <x:c r="B61" s="7"/>
      <x:c r="C61" s="7"/>
      <x:c r="D61" s="7"/>
      <x:c r="E61" s="8"/>
      <x:c r="F61" s="8"/>
      <x:c r="G61" s="15" t="str">
        <x:f>IF(A61="","",IF(AND(ISNUMBER(B61),ISNUMBER(C61),ISNUMBER(E61)),(C61-B61)*E61,""))</x:f>
      </x:c>
      <x:c r="H61" s="15" t="str">
        <x:f>IF(A61="","",IF(AND(ISNUMBER(C61),ISNUMBER(E61),ISNUMBER(F61)),C61*(F61-E61),""))</x:f>
      </x:c>
      <x:c r="I61" s="8"/>
      <x:c r="J61" s="15" t="str">
        <x:f>IF(OR(A61="",M61&lt;&gt;""),"",SUM(G61:I61))</x:f>
      </x:c>
      <x:c r="K61" s="7"/>
      <x:c r="L61" s="7"/>
      <x:c r="M61" s="14" t="str">
        <x:f>IF(A61="","",IF(COUNTIF($A$7:$A$106,A61)&lt;&gt;1,"Duplicate scope ID",IF(OR(K61="",L61=""),"Missing cause or revision evidence",IF(AND(I61&lt;&gt;"",NOT(ISNUMBER(I61))),"Non-numeric other change",IF(AND(ISNUMBER(G61),ISNUMBER(H61)),IF(D61="","Missing quantity unit",""),IF(AND(B61="",C61="",E61="",F61="",ISNUMBER(I61)),"","Incomplete change inputs"))))))</x:f>
      </x:c>
    </x:row>
    <x:row r="62" ht="26" customHeight="1">
      <x:c r="A62" s="16"/>
      <x:c r="B62" s="7"/>
      <x:c r="C62" s="7"/>
      <x:c r="D62" s="7"/>
      <x:c r="E62" s="8"/>
      <x:c r="F62" s="8"/>
      <x:c r="G62" s="15" t="str">
        <x:f>IF(A62="","",IF(AND(ISNUMBER(B62),ISNUMBER(C62),ISNUMBER(E62)),(C62-B62)*E62,""))</x:f>
      </x:c>
      <x:c r="H62" s="15" t="str">
        <x:f>IF(A62="","",IF(AND(ISNUMBER(C62),ISNUMBER(E62),ISNUMBER(F62)),C62*(F62-E62),""))</x:f>
      </x:c>
      <x:c r="I62" s="8"/>
      <x:c r="J62" s="15" t="str">
        <x:f>IF(OR(A62="",M62&lt;&gt;""),"",SUM(G62:I62))</x:f>
      </x:c>
      <x:c r="K62" s="7"/>
      <x:c r="L62" s="7"/>
      <x:c r="M62" s="14" t="str">
        <x:f>IF(A62="","",IF(COUNTIF($A$7:$A$106,A62)&lt;&gt;1,"Duplicate scope ID",IF(OR(K62="",L62=""),"Missing cause or revision evidence",IF(AND(I62&lt;&gt;"",NOT(ISNUMBER(I62))),"Non-numeric other change",IF(AND(ISNUMBER(G62),ISNUMBER(H62)),IF(D62="","Missing quantity unit",""),IF(AND(B62="",C62="",E62="",F62="",ISNUMBER(I62)),"","Incomplete change inputs"))))))</x:f>
      </x:c>
    </x:row>
    <x:row r="63" ht="26" customHeight="1">
      <x:c r="A63" s="16"/>
      <x:c r="B63" s="7"/>
      <x:c r="C63" s="7"/>
      <x:c r="D63" s="7"/>
      <x:c r="E63" s="8"/>
      <x:c r="F63" s="8"/>
      <x:c r="G63" s="15" t="str">
        <x:f>IF(A63="","",IF(AND(ISNUMBER(B63),ISNUMBER(C63),ISNUMBER(E63)),(C63-B63)*E63,""))</x:f>
      </x:c>
      <x:c r="H63" s="15" t="str">
        <x:f>IF(A63="","",IF(AND(ISNUMBER(C63),ISNUMBER(E63),ISNUMBER(F63)),C63*(F63-E63),""))</x:f>
      </x:c>
      <x:c r="I63" s="8"/>
      <x:c r="J63" s="15" t="str">
        <x:f>IF(OR(A63="",M63&lt;&gt;""),"",SUM(G63:I63))</x:f>
      </x:c>
      <x:c r="K63" s="7"/>
      <x:c r="L63" s="7"/>
      <x:c r="M63" s="14" t="str">
        <x:f>IF(A63="","",IF(COUNTIF($A$7:$A$106,A63)&lt;&gt;1,"Duplicate scope ID",IF(OR(K63="",L63=""),"Missing cause or revision evidence",IF(AND(I63&lt;&gt;"",NOT(ISNUMBER(I63))),"Non-numeric other change",IF(AND(ISNUMBER(G63),ISNUMBER(H63)),IF(D63="","Missing quantity unit",""),IF(AND(B63="",C63="",E63="",F63="",ISNUMBER(I63)),"","Incomplete change inputs"))))))</x:f>
      </x:c>
    </x:row>
    <x:row r="64" ht="26" customHeight="1">
      <x:c r="A64" s="16"/>
      <x:c r="B64" s="7"/>
      <x:c r="C64" s="7"/>
      <x:c r="D64" s="7"/>
      <x:c r="E64" s="8"/>
      <x:c r="F64" s="8"/>
      <x:c r="G64" s="15" t="str">
        <x:f>IF(A64="","",IF(AND(ISNUMBER(B64),ISNUMBER(C64),ISNUMBER(E64)),(C64-B64)*E64,""))</x:f>
      </x:c>
      <x:c r="H64" s="15" t="str">
        <x:f>IF(A64="","",IF(AND(ISNUMBER(C64),ISNUMBER(E64),ISNUMBER(F64)),C64*(F64-E64),""))</x:f>
      </x:c>
      <x:c r="I64" s="8"/>
      <x:c r="J64" s="15" t="str">
        <x:f>IF(OR(A64="",M64&lt;&gt;""),"",SUM(G64:I64))</x:f>
      </x:c>
      <x:c r="K64" s="7"/>
      <x:c r="L64" s="7"/>
      <x:c r="M64" s="14" t="str">
        <x:f>IF(A64="","",IF(COUNTIF($A$7:$A$106,A64)&lt;&gt;1,"Duplicate scope ID",IF(OR(K64="",L64=""),"Missing cause or revision evidence",IF(AND(I64&lt;&gt;"",NOT(ISNUMBER(I64))),"Non-numeric other change",IF(AND(ISNUMBER(G64),ISNUMBER(H64)),IF(D64="","Missing quantity unit",""),IF(AND(B64="",C64="",E64="",F64="",ISNUMBER(I64)),"","Incomplete change inputs"))))))</x:f>
      </x:c>
    </x:row>
    <x:row r="65" ht="26" customHeight="1">
      <x:c r="A65" s="16"/>
      <x:c r="B65" s="7"/>
      <x:c r="C65" s="7"/>
      <x:c r="D65" s="7"/>
      <x:c r="E65" s="8"/>
      <x:c r="F65" s="8"/>
      <x:c r="G65" s="15" t="str">
        <x:f>IF(A65="","",IF(AND(ISNUMBER(B65),ISNUMBER(C65),ISNUMBER(E65)),(C65-B65)*E65,""))</x:f>
      </x:c>
      <x:c r="H65" s="15" t="str">
        <x:f>IF(A65="","",IF(AND(ISNUMBER(C65),ISNUMBER(E65),ISNUMBER(F65)),C65*(F65-E65),""))</x:f>
      </x:c>
      <x:c r="I65" s="8"/>
      <x:c r="J65" s="15" t="str">
        <x:f>IF(OR(A65="",M65&lt;&gt;""),"",SUM(G65:I65))</x:f>
      </x:c>
      <x:c r="K65" s="7"/>
      <x:c r="L65" s="7"/>
      <x:c r="M65" s="14" t="str">
        <x:f>IF(A65="","",IF(COUNTIF($A$7:$A$106,A65)&lt;&gt;1,"Duplicate scope ID",IF(OR(K65="",L65=""),"Missing cause or revision evidence",IF(AND(I65&lt;&gt;"",NOT(ISNUMBER(I65))),"Non-numeric other change",IF(AND(ISNUMBER(G65),ISNUMBER(H65)),IF(D65="","Missing quantity unit",""),IF(AND(B65="",C65="",E65="",F65="",ISNUMBER(I65)),"","Incomplete change inputs"))))))</x:f>
      </x:c>
    </x:row>
    <x:row r="66" ht="26" customHeight="1">
      <x:c r="A66" s="16"/>
      <x:c r="B66" s="7"/>
      <x:c r="C66" s="7"/>
      <x:c r="D66" s="7"/>
      <x:c r="E66" s="8"/>
      <x:c r="F66" s="8"/>
      <x:c r="G66" s="15" t="str">
        <x:f>IF(A66="","",IF(AND(ISNUMBER(B66),ISNUMBER(C66),ISNUMBER(E66)),(C66-B66)*E66,""))</x:f>
      </x:c>
      <x:c r="H66" s="15" t="str">
        <x:f>IF(A66="","",IF(AND(ISNUMBER(C66),ISNUMBER(E66),ISNUMBER(F66)),C66*(F66-E66),""))</x:f>
      </x:c>
      <x:c r="I66" s="8"/>
      <x:c r="J66" s="15" t="str">
        <x:f>IF(OR(A66="",M66&lt;&gt;""),"",SUM(G66:I66))</x:f>
      </x:c>
      <x:c r="K66" s="7"/>
      <x:c r="L66" s="7"/>
      <x:c r="M66" s="14" t="str">
        <x:f>IF(A66="","",IF(COUNTIF($A$7:$A$106,A66)&lt;&gt;1,"Duplicate scope ID",IF(OR(K66="",L66=""),"Missing cause or revision evidence",IF(AND(I66&lt;&gt;"",NOT(ISNUMBER(I66))),"Non-numeric other change",IF(AND(ISNUMBER(G66),ISNUMBER(H66)),IF(D66="","Missing quantity unit",""),IF(AND(B66="",C66="",E66="",F66="",ISNUMBER(I66)),"","Incomplete change inputs"))))))</x:f>
      </x:c>
    </x:row>
    <x:row r="67" ht="26" customHeight="1">
      <x:c r="A67" s="16"/>
      <x:c r="B67" s="7"/>
      <x:c r="C67" s="7"/>
      <x:c r="D67" s="7"/>
      <x:c r="E67" s="8"/>
      <x:c r="F67" s="8"/>
      <x:c r="G67" s="15" t="str">
        <x:f>IF(A67="","",IF(AND(ISNUMBER(B67),ISNUMBER(C67),ISNUMBER(E67)),(C67-B67)*E67,""))</x:f>
      </x:c>
      <x:c r="H67" s="15" t="str">
        <x:f>IF(A67="","",IF(AND(ISNUMBER(C67),ISNUMBER(E67),ISNUMBER(F67)),C67*(F67-E67),""))</x:f>
      </x:c>
      <x:c r="I67" s="8"/>
      <x:c r="J67" s="15" t="str">
        <x:f>IF(OR(A67="",M67&lt;&gt;""),"",SUM(G67:I67))</x:f>
      </x:c>
      <x:c r="K67" s="7"/>
      <x:c r="L67" s="7"/>
      <x:c r="M67" s="14" t="str">
        <x:f>IF(A67="","",IF(COUNTIF($A$7:$A$106,A67)&lt;&gt;1,"Duplicate scope ID",IF(OR(K67="",L67=""),"Missing cause or revision evidence",IF(AND(I67&lt;&gt;"",NOT(ISNUMBER(I67))),"Non-numeric other change",IF(AND(ISNUMBER(G67),ISNUMBER(H67)),IF(D67="","Missing quantity unit",""),IF(AND(B67="",C67="",E67="",F67="",ISNUMBER(I67)),"","Incomplete change inputs"))))))</x:f>
      </x:c>
    </x:row>
    <x:row r="68" ht="26" customHeight="1">
      <x:c r="A68" s="16"/>
      <x:c r="B68" s="7"/>
      <x:c r="C68" s="7"/>
      <x:c r="D68" s="7"/>
      <x:c r="E68" s="8"/>
      <x:c r="F68" s="8"/>
      <x:c r="G68" s="15" t="str">
        <x:f>IF(A68="","",IF(AND(ISNUMBER(B68),ISNUMBER(C68),ISNUMBER(E68)),(C68-B68)*E68,""))</x:f>
      </x:c>
      <x:c r="H68" s="15" t="str">
        <x:f>IF(A68="","",IF(AND(ISNUMBER(C68),ISNUMBER(E68),ISNUMBER(F68)),C68*(F68-E68),""))</x:f>
      </x:c>
      <x:c r="I68" s="8"/>
      <x:c r="J68" s="15" t="str">
        <x:f>IF(OR(A68="",M68&lt;&gt;""),"",SUM(G68:I68))</x:f>
      </x:c>
      <x:c r="K68" s="7"/>
      <x:c r="L68" s="7"/>
      <x:c r="M68" s="14" t="str">
        <x:f>IF(A68="","",IF(COUNTIF($A$7:$A$106,A68)&lt;&gt;1,"Duplicate scope ID",IF(OR(K68="",L68=""),"Missing cause or revision evidence",IF(AND(I68&lt;&gt;"",NOT(ISNUMBER(I68))),"Non-numeric other change",IF(AND(ISNUMBER(G68),ISNUMBER(H68)),IF(D68="","Missing quantity unit",""),IF(AND(B68="",C68="",E68="",F68="",ISNUMBER(I68)),"","Incomplete change inputs"))))))</x:f>
      </x:c>
    </x:row>
    <x:row r="69" ht="26" customHeight="1">
      <x:c r="A69" s="16"/>
      <x:c r="B69" s="7"/>
      <x:c r="C69" s="7"/>
      <x:c r="D69" s="7"/>
      <x:c r="E69" s="8"/>
      <x:c r="F69" s="8"/>
      <x:c r="G69" s="15" t="str">
        <x:f>IF(A69="","",IF(AND(ISNUMBER(B69),ISNUMBER(C69),ISNUMBER(E69)),(C69-B69)*E69,""))</x:f>
      </x:c>
      <x:c r="H69" s="15" t="str">
        <x:f>IF(A69="","",IF(AND(ISNUMBER(C69),ISNUMBER(E69),ISNUMBER(F69)),C69*(F69-E69),""))</x:f>
      </x:c>
      <x:c r="I69" s="8"/>
      <x:c r="J69" s="15" t="str">
        <x:f>IF(OR(A69="",M69&lt;&gt;""),"",SUM(G69:I69))</x:f>
      </x:c>
      <x:c r="K69" s="7"/>
      <x:c r="L69" s="7"/>
      <x:c r="M69" s="14" t="str">
        <x:f>IF(A69="","",IF(COUNTIF($A$7:$A$106,A69)&lt;&gt;1,"Duplicate scope ID",IF(OR(K69="",L69=""),"Missing cause or revision evidence",IF(AND(I69&lt;&gt;"",NOT(ISNUMBER(I69))),"Non-numeric other change",IF(AND(ISNUMBER(G69),ISNUMBER(H69)),IF(D69="","Missing quantity unit",""),IF(AND(B69="",C69="",E69="",F69="",ISNUMBER(I69)),"","Incomplete change inputs"))))))</x:f>
      </x:c>
    </x:row>
    <x:row r="70" ht="26" customHeight="1">
      <x:c r="A70" s="16"/>
      <x:c r="B70" s="7"/>
      <x:c r="C70" s="7"/>
      <x:c r="D70" s="7"/>
      <x:c r="E70" s="8"/>
      <x:c r="F70" s="8"/>
      <x:c r="G70" s="15" t="str">
        <x:f>IF(A70="","",IF(AND(ISNUMBER(B70),ISNUMBER(C70),ISNUMBER(E70)),(C70-B70)*E70,""))</x:f>
      </x:c>
      <x:c r="H70" s="15" t="str">
        <x:f>IF(A70="","",IF(AND(ISNUMBER(C70),ISNUMBER(E70),ISNUMBER(F70)),C70*(F70-E70),""))</x:f>
      </x:c>
      <x:c r="I70" s="8"/>
      <x:c r="J70" s="15" t="str">
        <x:f>IF(OR(A70="",M70&lt;&gt;""),"",SUM(G70:I70))</x:f>
      </x:c>
      <x:c r="K70" s="7"/>
      <x:c r="L70" s="7"/>
      <x:c r="M70" s="14" t="str">
        <x:f>IF(A70="","",IF(COUNTIF($A$7:$A$106,A70)&lt;&gt;1,"Duplicate scope ID",IF(OR(K70="",L70=""),"Missing cause or revision evidence",IF(AND(I70&lt;&gt;"",NOT(ISNUMBER(I70))),"Non-numeric other change",IF(AND(ISNUMBER(G70),ISNUMBER(H70)),IF(D70="","Missing quantity unit",""),IF(AND(B70="",C70="",E70="",F70="",ISNUMBER(I70)),"","Incomplete change inputs"))))))</x:f>
      </x:c>
    </x:row>
    <x:row r="71" ht="26" customHeight="1">
      <x:c r="A71" s="16"/>
      <x:c r="B71" s="7"/>
      <x:c r="C71" s="7"/>
      <x:c r="D71" s="7"/>
      <x:c r="E71" s="8"/>
      <x:c r="F71" s="8"/>
      <x:c r="G71" s="15" t="str">
        <x:f>IF(A71="","",IF(AND(ISNUMBER(B71),ISNUMBER(C71),ISNUMBER(E71)),(C71-B71)*E71,""))</x:f>
      </x:c>
      <x:c r="H71" s="15" t="str">
        <x:f>IF(A71="","",IF(AND(ISNUMBER(C71),ISNUMBER(E71),ISNUMBER(F71)),C71*(F71-E71),""))</x:f>
      </x:c>
      <x:c r="I71" s="8"/>
      <x:c r="J71" s="15" t="str">
        <x:f>IF(OR(A71="",M71&lt;&gt;""),"",SUM(G71:I71))</x:f>
      </x:c>
      <x:c r="K71" s="7"/>
      <x:c r="L71" s="7"/>
      <x:c r="M71" s="14" t="str">
        <x:f>IF(A71="","",IF(COUNTIF($A$7:$A$106,A71)&lt;&gt;1,"Duplicate scope ID",IF(OR(K71="",L71=""),"Missing cause or revision evidence",IF(AND(I71&lt;&gt;"",NOT(ISNUMBER(I71))),"Non-numeric other change",IF(AND(ISNUMBER(G71),ISNUMBER(H71)),IF(D71="","Missing quantity unit",""),IF(AND(B71="",C71="",E71="",F71="",ISNUMBER(I71)),"","Incomplete change inputs"))))))</x:f>
      </x:c>
    </x:row>
    <x:row r="72" ht="26" customHeight="1">
      <x:c r="A72" s="16"/>
      <x:c r="B72" s="7"/>
      <x:c r="C72" s="7"/>
      <x:c r="D72" s="7"/>
      <x:c r="E72" s="8"/>
      <x:c r="F72" s="8"/>
      <x:c r="G72" s="15" t="str">
        <x:f>IF(A72="","",IF(AND(ISNUMBER(B72),ISNUMBER(C72),ISNUMBER(E72)),(C72-B72)*E72,""))</x:f>
      </x:c>
      <x:c r="H72" s="15" t="str">
        <x:f>IF(A72="","",IF(AND(ISNUMBER(C72),ISNUMBER(E72),ISNUMBER(F72)),C72*(F72-E72),""))</x:f>
      </x:c>
      <x:c r="I72" s="8"/>
      <x:c r="J72" s="15" t="str">
        <x:f>IF(OR(A72="",M72&lt;&gt;""),"",SUM(G72:I72))</x:f>
      </x:c>
      <x:c r="K72" s="7"/>
      <x:c r="L72" s="7"/>
      <x:c r="M72" s="14" t="str">
        <x:f>IF(A72="","",IF(COUNTIF($A$7:$A$106,A72)&lt;&gt;1,"Duplicate scope ID",IF(OR(K72="",L72=""),"Missing cause or revision evidence",IF(AND(I72&lt;&gt;"",NOT(ISNUMBER(I72))),"Non-numeric other change",IF(AND(ISNUMBER(G72),ISNUMBER(H72)),IF(D72="","Missing quantity unit",""),IF(AND(B72="",C72="",E72="",F72="",ISNUMBER(I72)),"","Incomplete change inputs"))))))</x:f>
      </x:c>
    </x:row>
    <x:row r="73" ht="26" customHeight="1">
      <x:c r="A73" s="16"/>
      <x:c r="B73" s="7"/>
      <x:c r="C73" s="7"/>
      <x:c r="D73" s="7"/>
      <x:c r="E73" s="8"/>
      <x:c r="F73" s="8"/>
      <x:c r="G73" s="15" t="str">
        <x:f>IF(A73="","",IF(AND(ISNUMBER(B73),ISNUMBER(C73),ISNUMBER(E73)),(C73-B73)*E73,""))</x:f>
      </x:c>
      <x:c r="H73" s="15" t="str">
        <x:f>IF(A73="","",IF(AND(ISNUMBER(C73),ISNUMBER(E73),ISNUMBER(F73)),C73*(F73-E73),""))</x:f>
      </x:c>
      <x:c r="I73" s="8"/>
      <x:c r="J73" s="15" t="str">
        <x:f>IF(OR(A73="",M73&lt;&gt;""),"",SUM(G73:I73))</x:f>
      </x:c>
      <x:c r="K73" s="7"/>
      <x:c r="L73" s="7"/>
      <x:c r="M73" s="14" t="str">
        <x:f>IF(A73="","",IF(COUNTIF($A$7:$A$106,A73)&lt;&gt;1,"Duplicate scope ID",IF(OR(K73="",L73=""),"Missing cause or revision evidence",IF(AND(I73&lt;&gt;"",NOT(ISNUMBER(I73))),"Non-numeric other change",IF(AND(ISNUMBER(G73),ISNUMBER(H73)),IF(D73="","Missing quantity unit",""),IF(AND(B73="",C73="",E73="",F73="",ISNUMBER(I73)),"","Incomplete change inputs"))))))</x:f>
      </x:c>
    </x:row>
    <x:row r="74" ht="26" customHeight="1">
      <x:c r="A74" s="16"/>
      <x:c r="B74" s="7"/>
      <x:c r="C74" s="7"/>
      <x:c r="D74" s="7"/>
      <x:c r="E74" s="8"/>
      <x:c r="F74" s="8"/>
      <x:c r="G74" s="15" t="str">
        <x:f>IF(A74="","",IF(AND(ISNUMBER(B74),ISNUMBER(C74),ISNUMBER(E74)),(C74-B74)*E74,""))</x:f>
      </x:c>
      <x:c r="H74" s="15" t="str">
        <x:f>IF(A74="","",IF(AND(ISNUMBER(C74),ISNUMBER(E74),ISNUMBER(F74)),C74*(F74-E74),""))</x:f>
      </x:c>
      <x:c r="I74" s="8"/>
      <x:c r="J74" s="15" t="str">
        <x:f>IF(OR(A74="",M74&lt;&gt;""),"",SUM(G74:I74))</x:f>
      </x:c>
      <x:c r="K74" s="7"/>
      <x:c r="L74" s="7"/>
      <x:c r="M74" s="14" t="str">
        <x:f>IF(A74="","",IF(COUNTIF($A$7:$A$106,A74)&lt;&gt;1,"Duplicate scope ID",IF(OR(K74="",L74=""),"Missing cause or revision evidence",IF(AND(I74&lt;&gt;"",NOT(ISNUMBER(I74))),"Non-numeric other change",IF(AND(ISNUMBER(G74),ISNUMBER(H74)),IF(D74="","Missing quantity unit",""),IF(AND(B74="",C74="",E74="",F74="",ISNUMBER(I74)),"","Incomplete change inputs"))))))</x:f>
      </x:c>
    </x:row>
    <x:row r="75" ht="26" customHeight="1">
      <x:c r="A75" s="16"/>
      <x:c r="B75" s="7"/>
      <x:c r="C75" s="7"/>
      <x:c r="D75" s="7"/>
      <x:c r="E75" s="8"/>
      <x:c r="F75" s="8"/>
      <x:c r="G75" s="15" t="str">
        <x:f>IF(A75="","",IF(AND(ISNUMBER(B75),ISNUMBER(C75),ISNUMBER(E75)),(C75-B75)*E75,""))</x:f>
      </x:c>
      <x:c r="H75" s="15" t="str">
        <x:f>IF(A75="","",IF(AND(ISNUMBER(C75),ISNUMBER(E75),ISNUMBER(F75)),C75*(F75-E75),""))</x:f>
      </x:c>
      <x:c r="I75" s="8"/>
      <x:c r="J75" s="15" t="str">
        <x:f>IF(OR(A75="",M75&lt;&gt;""),"",SUM(G75:I75))</x:f>
      </x:c>
      <x:c r="K75" s="7"/>
      <x:c r="L75" s="7"/>
      <x:c r="M75" s="14" t="str">
        <x:f>IF(A75="","",IF(COUNTIF($A$7:$A$106,A75)&lt;&gt;1,"Duplicate scope ID",IF(OR(K75="",L75=""),"Missing cause or revision evidence",IF(AND(I75&lt;&gt;"",NOT(ISNUMBER(I75))),"Non-numeric other change",IF(AND(ISNUMBER(G75),ISNUMBER(H75)),IF(D75="","Missing quantity unit",""),IF(AND(B75="",C75="",E75="",F75="",ISNUMBER(I75)),"","Incomplete change inputs"))))))</x:f>
      </x:c>
    </x:row>
    <x:row r="76" ht="26" customHeight="1">
      <x:c r="A76" s="16"/>
      <x:c r="B76" s="7"/>
      <x:c r="C76" s="7"/>
      <x:c r="D76" s="7"/>
      <x:c r="E76" s="8"/>
      <x:c r="F76" s="8"/>
      <x:c r="G76" s="15" t="str">
        <x:f>IF(A76="","",IF(AND(ISNUMBER(B76),ISNUMBER(C76),ISNUMBER(E76)),(C76-B76)*E76,""))</x:f>
      </x:c>
      <x:c r="H76" s="15" t="str">
        <x:f>IF(A76="","",IF(AND(ISNUMBER(C76),ISNUMBER(E76),ISNUMBER(F76)),C76*(F76-E76),""))</x:f>
      </x:c>
      <x:c r="I76" s="8"/>
      <x:c r="J76" s="15" t="str">
        <x:f>IF(OR(A76="",M76&lt;&gt;""),"",SUM(G76:I76))</x:f>
      </x:c>
      <x:c r="K76" s="7"/>
      <x:c r="L76" s="7"/>
      <x:c r="M76" s="14" t="str">
        <x:f>IF(A76="","",IF(COUNTIF($A$7:$A$106,A76)&lt;&gt;1,"Duplicate scope ID",IF(OR(K76="",L76=""),"Missing cause or revision evidence",IF(AND(I76&lt;&gt;"",NOT(ISNUMBER(I76))),"Non-numeric other change",IF(AND(ISNUMBER(G76),ISNUMBER(H76)),IF(D76="","Missing quantity unit",""),IF(AND(B76="",C76="",E76="",F76="",ISNUMBER(I76)),"","Incomplete change inputs"))))))</x:f>
      </x:c>
    </x:row>
    <x:row r="77" ht="26" customHeight="1">
      <x:c r="A77" s="16"/>
      <x:c r="B77" s="7"/>
      <x:c r="C77" s="7"/>
      <x:c r="D77" s="7"/>
      <x:c r="E77" s="8"/>
      <x:c r="F77" s="8"/>
      <x:c r="G77" s="15" t="str">
        <x:f>IF(A77="","",IF(AND(ISNUMBER(B77),ISNUMBER(C77),ISNUMBER(E77)),(C77-B77)*E77,""))</x:f>
      </x:c>
      <x:c r="H77" s="15" t="str">
        <x:f>IF(A77="","",IF(AND(ISNUMBER(C77),ISNUMBER(E77),ISNUMBER(F77)),C77*(F77-E77),""))</x:f>
      </x:c>
      <x:c r="I77" s="8"/>
      <x:c r="J77" s="15" t="str">
        <x:f>IF(OR(A77="",M77&lt;&gt;""),"",SUM(G77:I77))</x:f>
      </x:c>
      <x:c r="K77" s="7"/>
      <x:c r="L77" s="7"/>
      <x:c r="M77" s="14" t="str">
        <x:f>IF(A77="","",IF(COUNTIF($A$7:$A$106,A77)&lt;&gt;1,"Duplicate scope ID",IF(OR(K77="",L77=""),"Missing cause or revision evidence",IF(AND(I77&lt;&gt;"",NOT(ISNUMBER(I77))),"Non-numeric other change",IF(AND(ISNUMBER(G77),ISNUMBER(H77)),IF(D77="","Missing quantity unit",""),IF(AND(B77="",C77="",E77="",F77="",ISNUMBER(I77)),"","Incomplete change inputs"))))))</x:f>
      </x:c>
    </x:row>
    <x:row r="78" ht="26" customHeight="1">
      <x:c r="A78" s="16"/>
      <x:c r="B78" s="7"/>
      <x:c r="C78" s="7"/>
      <x:c r="D78" s="7"/>
      <x:c r="E78" s="8"/>
      <x:c r="F78" s="8"/>
      <x:c r="G78" s="15" t="str">
        <x:f>IF(A78="","",IF(AND(ISNUMBER(B78),ISNUMBER(C78),ISNUMBER(E78)),(C78-B78)*E78,""))</x:f>
      </x:c>
      <x:c r="H78" s="15" t="str">
        <x:f>IF(A78="","",IF(AND(ISNUMBER(C78),ISNUMBER(E78),ISNUMBER(F78)),C78*(F78-E78),""))</x:f>
      </x:c>
      <x:c r="I78" s="8"/>
      <x:c r="J78" s="15" t="str">
        <x:f>IF(OR(A78="",M78&lt;&gt;""),"",SUM(G78:I78))</x:f>
      </x:c>
      <x:c r="K78" s="7"/>
      <x:c r="L78" s="7"/>
      <x:c r="M78" s="14" t="str">
        <x:f>IF(A78="","",IF(COUNTIF($A$7:$A$106,A78)&lt;&gt;1,"Duplicate scope ID",IF(OR(K78="",L78=""),"Missing cause or revision evidence",IF(AND(I78&lt;&gt;"",NOT(ISNUMBER(I78))),"Non-numeric other change",IF(AND(ISNUMBER(G78),ISNUMBER(H78)),IF(D78="","Missing quantity unit",""),IF(AND(B78="",C78="",E78="",F78="",ISNUMBER(I78)),"","Incomplete change inputs"))))))</x:f>
      </x:c>
    </x:row>
    <x:row r="79" ht="26" customHeight="1">
      <x:c r="A79" s="16"/>
      <x:c r="B79" s="7"/>
      <x:c r="C79" s="7"/>
      <x:c r="D79" s="7"/>
      <x:c r="E79" s="8"/>
      <x:c r="F79" s="8"/>
      <x:c r="G79" s="15" t="str">
        <x:f>IF(A79="","",IF(AND(ISNUMBER(B79),ISNUMBER(C79),ISNUMBER(E79)),(C79-B79)*E79,""))</x:f>
      </x:c>
      <x:c r="H79" s="15" t="str">
        <x:f>IF(A79="","",IF(AND(ISNUMBER(C79),ISNUMBER(E79),ISNUMBER(F79)),C79*(F79-E79),""))</x:f>
      </x:c>
      <x:c r="I79" s="8"/>
      <x:c r="J79" s="15" t="str">
        <x:f>IF(OR(A79="",M79&lt;&gt;""),"",SUM(G79:I79))</x:f>
      </x:c>
      <x:c r="K79" s="7"/>
      <x:c r="L79" s="7"/>
      <x:c r="M79" s="14" t="str">
        <x:f>IF(A79="","",IF(COUNTIF($A$7:$A$106,A79)&lt;&gt;1,"Duplicate scope ID",IF(OR(K79="",L79=""),"Missing cause or revision evidence",IF(AND(I79&lt;&gt;"",NOT(ISNUMBER(I79))),"Non-numeric other change",IF(AND(ISNUMBER(G79),ISNUMBER(H79)),IF(D79="","Missing quantity unit",""),IF(AND(B79="",C79="",E79="",F79="",ISNUMBER(I79)),"","Incomplete change inputs"))))))</x:f>
      </x:c>
    </x:row>
    <x:row r="80" ht="26" customHeight="1">
      <x:c r="A80" s="16"/>
      <x:c r="B80" s="7"/>
      <x:c r="C80" s="7"/>
      <x:c r="D80" s="7"/>
      <x:c r="E80" s="8"/>
      <x:c r="F80" s="8"/>
      <x:c r="G80" s="15" t="str">
        <x:f>IF(A80="","",IF(AND(ISNUMBER(B80),ISNUMBER(C80),ISNUMBER(E80)),(C80-B80)*E80,""))</x:f>
      </x:c>
      <x:c r="H80" s="15" t="str">
        <x:f>IF(A80="","",IF(AND(ISNUMBER(C80),ISNUMBER(E80),ISNUMBER(F80)),C80*(F80-E80),""))</x:f>
      </x:c>
      <x:c r="I80" s="8"/>
      <x:c r="J80" s="15" t="str">
        <x:f>IF(OR(A80="",M80&lt;&gt;""),"",SUM(G80:I80))</x:f>
      </x:c>
      <x:c r="K80" s="7"/>
      <x:c r="L80" s="7"/>
      <x:c r="M80" s="14" t="str">
        <x:f>IF(A80="","",IF(COUNTIF($A$7:$A$106,A80)&lt;&gt;1,"Duplicate scope ID",IF(OR(K80="",L80=""),"Missing cause or revision evidence",IF(AND(I80&lt;&gt;"",NOT(ISNUMBER(I80))),"Non-numeric other change",IF(AND(ISNUMBER(G80),ISNUMBER(H80)),IF(D80="","Missing quantity unit",""),IF(AND(B80="",C80="",E80="",F80="",ISNUMBER(I80)),"","Incomplete change inputs"))))))</x:f>
      </x:c>
    </x:row>
    <x:row r="81" ht="26" customHeight="1">
      <x:c r="A81" s="16"/>
      <x:c r="B81" s="7"/>
      <x:c r="C81" s="7"/>
      <x:c r="D81" s="7"/>
      <x:c r="E81" s="8"/>
      <x:c r="F81" s="8"/>
      <x:c r="G81" s="15" t="str">
        <x:f>IF(A81="","",IF(AND(ISNUMBER(B81),ISNUMBER(C81),ISNUMBER(E81)),(C81-B81)*E81,""))</x:f>
      </x:c>
      <x:c r="H81" s="15" t="str">
        <x:f>IF(A81="","",IF(AND(ISNUMBER(C81),ISNUMBER(E81),ISNUMBER(F81)),C81*(F81-E81),""))</x:f>
      </x:c>
      <x:c r="I81" s="8"/>
      <x:c r="J81" s="15" t="str">
        <x:f>IF(OR(A81="",M81&lt;&gt;""),"",SUM(G81:I81))</x:f>
      </x:c>
      <x:c r="K81" s="7"/>
      <x:c r="L81" s="7"/>
      <x:c r="M81" s="14" t="str">
        <x:f>IF(A81="","",IF(COUNTIF($A$7:$A$106,A81)&lt;&gt;1,"Duplicate scope ID",IF(OR(K81="",L81=""),"Missing cause or revision evidence",IF(AND(I81&lt;&gt;"",NOT(ISNUMBER(I81))),"Non-numeric other change",IF(AND(ISNUMBER(G81),ISNUMBER(H81)),IF(D81="","Missing quantity unit",""),IF(AND(B81="",C81="",E81="",F81="",ISNUMBER(I81)),"","Incomplete change inputs"))))))</x:f>
      </x:c>
    </x:row>
    <x:row r="82" ht="26" customHeight="1">
      <x:c r="A82" s="16"/>
      <x:c r="B82" s="7"/>
      <x:c r="C82" s="7"/>
      <x:c r="D82" s="7"/>
      <x:c r="E82" s="8"/>
      <x:c r="F82" s="8"/>
      <x:c r="G82" s="15" t="str">
        <x:f>IF(A82="","",IF(AND(ISNUMBER(B82),ISNUMBER(C82),ISNUMBER(E82)),(C82-B82)*E82,""))</x:f>
      </x:c>
      <x:c r="H82" s="15" t="str">
        <x:f>IF(A82="","",IF(AND(ISNUMBER(C82),ISNUMBER(E82),ISNUMBER(F82)),C82*(F82-E82),""))</x:f>
      </x:c>
      <x:c r="I82" s="8"/>
      <x:c r="J82" s="15" t="str">
        <x:f>IF(OR(A82="",M82&lt;&gt;""),"",SUM(G82:I82))</x:f>
      </x:c>
      <x:c r="K82" s="7"/>
      <x:c r="L82" s="7"/>
      <x:c r="M82" s="14" t="str">
        <x:f>IF(A82="","",IF(COUNTIF($A$7:$A$106,A82)&lt;&gt;1,"Duplicate scope ID",IF(OR(K82="",L82=""),"Missing cause or revision evidence",IF(AND(I82&lt;&gt;"",NOT(ISNUMBER(I82))),"Non-numeric other change",IF(AND(ISNUMBER(G82),ISNUMBER(H82)),IF(D82="","Missing quantity unit",""),IF(AND(B82="",C82="",E82="",F82="",ISNUMBER(I82)),"","Incomplete change inputs"))))))</x:f>
      </x:c>
    </x:row>
    <x:row r="83" ht="26" customHeight="1">
      <x:c r="A83" s="16"/>
      <x:c r="B83" s="7"/>
      <x:c r="C83" s="7"/>
      <x:c r="D83" s="7"/>
      <x:c r="E83" s="8"/>
      <x:c r="F83" s="8"/>
      <x:c r="G83" s="15" t="str">
        <x:f>IF(A83="","",IF(AND(ISNUMBER(B83),ISNUMBER(C83),ISNUMBER(E83)),(C83-B83)*E83,""))</x:f>
      </x:c>
      <x:c r="H83" s="15" t="str">
        <x:f>IF(A83="","",IF(AND(ISNUMBER(C83),ISNUMBER(E83),ISNUMBER(F83)),C83*(F83-E83),""))</x:f>
      </x:c>
      <x:c r="I83" s="8"/>
      <x:c r="J83" s="15" t="str">
        <x:f>IF(OR(A83="",M83&lt;&gt;""),"",SUM(G83:I83))</x:f>
      </x:c>
      <x:c r="K83" s="7"/>
      <x:c r="L83" s="7"/>
      <x:c r="M83" s="14" t="str">
        <x:f>IF(A83="","",IF(COUNTIF($A$7:$A$106,A83)&lt;&gt;1,"Duplicate scope ID",IF(OR(K83="",L83=""),"Missing cause or revision evidence",IF(AND(I83&lt;&gt;"",NOT(ISNUMBER(I83))),"Non-numeric other change",IF(AND(ISNUMBER(G83),ISNUMBER(H83)),IF(D83="","Missing quantity unit",""),IF(AND(B83="",C83="",E83="",F83="",ISNUMBER(I83)),"","Incomplete change inputs"))))))</x:f>
      </x:c>
    </x:row>
    <x:row r="84" ht="26" customHeight="1">
      <x:c r="A84" s="16"/>
      <x:c r="B84" s="7"/>
      <x:c r="C84" s="7"/>
      <x:c r="D84" s="7"/>
      <x:c r="E84" s="8"/>
      <x:c r="F84" s="8"/>
      <x:c r="G84" s="15" t="str">
        <x:f>IF(A84="","",IF(AND(ISNUMBER(B84),ISNUMBER(C84),ISNUMBER(E84)),(C84-B84)*E84,""))</x:f>
      </x:c>
      <x:c r="H84" s="15" t="str">
        <x:f>IF(A84="","",IF(AND(ISNUMBER(C84),ISNUMBER(E84),ISNUMBER(F84)),C84*(F84-E84),""))</x:f>
      </x:c>
      <x:c r="I84" s="8"/>
      <x:c r="J84" s="15" t="str">
        <x:f>IF(OR(A84="",M84&lt;&gt;""),"",SUM(G84:I84))</x:f>
      </x:c>
      <x:c r="K84" s="7"/>
      <x:c r="L84" s="7"/>
      <x:c r="M84" s="14" t="str">
        <x:f>IF(A84="","",IF(COUNTIF($A$7:$A$106,A84)&lt;&gt;1,"Duplicate scope ID",IF(OR(K84="",L84=""),"Missing cause or revision evidence",IF(AND(I84&lt;&gt;"",NOT(ISNUMBER(I84))),"Non-numeric other change",IF(AND(ISNUMBER(G84),ISNUMBER(H84)),IF(D84="","Missing quantity unit",""),IF(AND(B84="",C84="",E84="",F84="",ISNUMBER(I84)),"","Incomplete change inputs"))))))</x:f>
      </x:c>
    </x:row>
    <x:row r="85" ht="26" customHeight="1">
      <x:c r="A85" s="16"/>
      <x:c r="B85" s="7"/>
      <x:c r="C85" s="7"/>
      <x:c r="D85" s="7"/>
      <x:c r="E85" s="8"/>
      <x:c r="F85" s="8"/>
      <x:c r="G85" s="15" t="str">
        <x:f>IF(A85="","",IF(AND(ISNUMBER(B85),ISNUMBER(C85),ISNUMBER(E85)),(C85-B85)*E85,""))</x:f>
      </x:c>
      <x:c r="H85" s="15" t="str">
        <x:f>IF(A85="","",IF(AND(ISNUMBER(C85),ISNUMBER(E85),ISNUMBER(F85)),C85*(F85-E85),""))</x:f>
      </x:c>
      <x:c r="I85" s="8"/>
      <x:c r="J85" s="15" t="str">
        <x:f>IF(OR(A85="",M85&lt;&gt;""),"",SUM(G85:I85))</x:f>
      </x:c>
      <x:c r="K85" s="7"/>
      <x:c r="L85" s="7"/>
      <x:c r="M85" s="14" t="str">
        <x:f>IF(A85="","",IF(COUNTIF($A$7:$A$106,A85)&lt;&gt;1,"Duplicate scope ID",IF(OR(K85="",L85=""),"Missing cause or revision evidence",IF(AND(I85&lt;&gt;"",NOT(ISNUMBER(I85))),"Non-numeric other change",IF(AND(ISNUMBER(G85),ISNUMBER(H85)),IF(D85="","Missing quantity unit",""),IF(AND(B85="",C85="",E85="",F85="",ISNUMBER(I85)),"","Incomplete change inputs"))))))</x:f>
      </x:c>
    </x:row>
    <x:row r="86" ht="26" customHeight="1">
      <x:c r="A86" s="16"/>
      <x:c r="B86" s="7"/>
      <x:c r="C86" s="7"/>
      <x:c r="D86" s="7"/>
      <x:c r="E86" s="8"/>
      <x:c r="F86" s="8"/>
      <x:c r="G86" s="15" t="str">
        <x:f>IF(A86="","",IF(AND(ISNUMBER(B86),ISNUMBER(C86),ISNUMBER(E86)),(C86-B86)*E86,""))</x:f>
      </x:c>
      <x:c r="H86" s="15" t="str">
        <x:f>IF(A86="","",IF(AND(ISNUMBER(C86),ISNUMBER(E86),ISNUMBER(F86)),C86*(F86-E86),""))</x:f>
      </x:c>
      <x:c r="I86" s="8"/>
      <x:c r="J86" s="15" t="str">
        <x:f>IF(OR(A86="",M86&lt;&gt;""),"",SUM(G86:I86))</x:f>
      </x:c>
      <x:c r="K86" s="7"/>
      <x:c r="L86" s="7"/>
      <x:c r="M86" s="14" t="str">
        <x:f>IF(A86="","",IF(COUNTIF($A$7:$A$106,A86)&lt;&gt;1,"Duplicate scope ID",IF(OR(K86="",L86=""),"Missing cause or revision evidence",IF(AND(I86&lt;&gt;"",NOT(ISNUMBER(I86))),"Non-numeric other change",IF(AND(ISNUMBER(G86),ISNUMBER(H86)),IF(D86="","Missing quantity unit",""),IF(AND(B86="",C86="",E86="",F86="",ISNUMBER(I86)),"","Incomplete change inputs"))))))</x:f>
      </x:c>
    </x:row>
    <x:row r="87" ht="26" customHeight="1">
      <x:c r="A87" s="16"/>
      <x:c r="B87" s="7"/>
      <x:c r="C87" s="7"/>
      <x:c r="D87" s="7"/>
      <x:c r="E87" s="8"/>
      <x:c r="F87" s="8"/>
      <x:c r="G87" s="15" t="str">
        <x:f>IF(A87="","",IF(AND(ISNUMBER(B87),ISNUMBER(C87),ISNUMBER(E87)),(C87-B87)*E87,""))</x:f>
      </x:c>
      <x:c r="H87" s="15" t="str">
        <x:f>IF(A87="","",IF(AND(ISNUMBER(C87),ISNUMBER(E87),ISNUMBER(F87)),C87*(F87-E87),""))</x:f>
      </x:c>
      <x:c r="I87" s="8"/>
      <x:c r="J87" s="15" t="str">
        <x:f>IF(OR(A87="",M87&lt;&gt;""),"",SUM(G87:I87))</x:f>
      </x:c>
      <x:c r="K87" s="7"/>
      <x:c r="L87" s="7"/>
      <x:c r="M87" s="14" t="str">
        <x:f>IF(A87="","",IF(COUNTIF($A$7:$A$106,A87)&lt;&gt;1,"Duplicate scope ID",IF(OR(K87="",L87=""),"Missing cause or revision evidence",IF(AND(I87&lt;&gt;"",NOT(ISNUMBER(I87))),"Non-numeric other change",IF(AND(ISNUMBER(G87),ISNUMBER(H87)),IF(D87="","Missing quantity unit",""),IF(AND(B87="",C87="",E87="",F87="",ISNUMBER(I87)),"","Incomplete change inputs"))))))</x:f>
      </x:c>
    </x:row>
    <x:row r="88" ht="26" customHeight="1">
      <x:c r="A88" s="16"/>
      <x:c r="B88" s="7"/>
      <x:c r="C88" s="7"/>
      <x:c r="D88" s="7"/>
      <x:c r="E88" s="8"/>
      <x:c r="F88" s="8"/>
      <x:c r="G88" s="15" t="str">
        <x:f>IF(A88="","",IF(AND(ISNUMBER(B88),ISNUMBER(C88),ISNUMBER(E88)),(C88-B88)*E88,""))</x:f>
      </x:c>
      <x:c r="H88" s="15" t="str">
        <x:f>IF(A88="","",IF(AND(ISNUMBER(C88),ISNUMBER(E88),ISNUMBER(F88)),C88*(F88-E88),""))</x:f>
      </x:c>
      <x:c r="I88" s="8"/>
      <x:c r="J88" s="15" t="str">
        <x:f>IF(OR(A88="",M88&lt;&gt;""),"",SUM(G88:I88))</x:f>
      </x:c>
      <x:c r="K88" s="7"/>
      <x:c r="L88" s="7"/>
      <x:c r="M88" s="14" t="str">
        <x:f>IF(A88="","",IF(COUNTIF($A$7:$A$106,A88)&lt;&gt;1,"Duplicate scope ID",IF(OR(K88="",L88=""),"Missing cause or revision evidence",IF(AND(I88&lt;&gt;"",NOT(ISNUMBER(I88))),"Non-numeric other change",IF(AND(ISNUMBER(G88),ISNUMBER(H88)),IF(D88="","Missing quantity unit",""),IF(AND(B88="",C88="",E88="",F88="",ISNUMBER(I88)),"","Incomplete change inputs"))))))</x:f>
      </x:c>
    </x:row>
    <x:row r="89" ht="26" customHeight="1">
      <x:c r="A89" s="16"/>
      <x:c r="B89" s="7"/>
      <x:c r="C89" s="7"/>
      <x:c r="D89" s="7"/>
      <x:c r="E89" s="8"/>
      <x:c r="F89" s="8"/>
      <x:c r="G89" s="15" t="str">
        <x:f>IF(A89="","",IF(AND(ISNUMBER(B89),ISNUMBER(C89),ISNUMBER(E89)),(C89-B89)*E89,""))</x:f>
      </x:c>
      <x:c r="H89" s="15" t="str">
        <x:f>IF(A89="","",IF(AND(ISNUMBER(C89),ISNUMBER(E89),ISNUMBER(F89)),C89*(F89-E89),""))</x:f>
      </x:c>
      <x:c r="I89" s="8"/>
      <x:c r="J89" s="15" t="str">
        <x:f>IF(OR(A89="",M89&lt;&gt;""),"",SUM(G89:I89))</x:f>
      </x:c>
      <x:c r="K89" s="7"/>
      <x:c r="L89" s="7"/>
      <x:c r="M89" s="14" t="str">
        <x:f>IF(A89="","",IF(COUNTIF($A$7:$A$106,A89)&lt;&gt;1,"Duplicate scope ID",IF(OR(K89="",L89=""),"Missing cause or revision evidence",IF(AND(I89&lt;&gt;"",NOT(ISNUMBER(I89))),"Non-numeric other change",IF(AND(ISNUMBER(G89),ISNUMBER(H89)),IF(D89="","Missing quantity unit",""),IF(AND(B89="",C89="",E89="",F89="",ISNUMBER(I89)),"","Incomplete change inputs"))))))</x:f>
      </x:c>
    </x:row>
    <x:row r="90" ht="26" customHeight="1">
      <x:c r="A90" s="16"/>
      <x:c r="B90" s="7"/>
      <x:c r="C90" s="7"/>
      <x:c r="D90" s="7"/>
      <x:c r="E90" s="8"/>
      <x:c r="F90" s="8"/>
      <x:c r="G90" s="15" t="str">
        <x:f>IF(A90="","",IF(AND(ISNUMBER(B90),ISNUMBER(C90),ISNUMBER(E90)),(C90-B90)*E90,""))</x:f>
      </x:c>
      <x:c r="H90" s="15" t="str">
        <x:f>IF(A90="","",IF(AND(ISNUMBER(C90),ISNUMBER(E90),ISNUMBER(F90)),C90*(F90-E90),""))</x:f>
      </x:c>
      <x:c r="I90" s="8"/>
      <x:c r="J90" s="15" t="str">
        <x:f>IF(OR(A90="",M90&lt;&gt;""),"",SUM(G90:I90))</x:f>
      </x:c>
      <x:c r="K90" s="7"/>
      <x:c r="L90" s="7"/>
      <x:c r="M90" s="14" t="str">
        <x:f>IF(A90="","",IF(COUNTIF($A$7:$A$106,A90)&lt;&gt;1,"Duplicate scope ID",IF(OR(K90="",L90=""),"Missing cause or revision evidence",IF(AND(I90&lt;&gt;"",NOT(ISNUMBER(I90))),"Non-numeric other change",IF(AND(ISNUMBER(G90),ISNUMBER(H90)),IF(D90="","Missing quantity unit",""),IF(AND(B90="",C90="",E90="",F90="",ISNUMBER(I90)),"","Incomplete change inputs"))))))</x:f>
      </x:c>
    </x:row>
    <x:row r="91" ht="26" customHeight="1">
      <x:c r="A91" s="16"/>
      <x:c r="B91" s="7"/>
      <x:c r="C91" s="7"/>
      <x:c r="D91" s="7"/>
      <x:c r="E91" s="8"/>
      <x:c r="F91" s="8"/>
      <x:c r="G91" s="15" t="str">
        <x:f>IF(A91="","",IF(AND(ISNUMBER(B91),ISNUMBER(C91),ISNUMBER(E91)),(C91-B91)*E91,""))</x:f>
      </x:c>
      <x:c r="H91" s="15" t="str">
        <x:f>IF(A91="","",IF(AND(ISNUMBER(C91),ISNUMBER(E91),ISNUMBER(F91)),C91*(F91-E91),""))</x:f>
      </x:c>
      <x:c r="I91" s="8"/>
      <x:c r="J91" s="15" t="str">
        <x:f>IF(OR(A91="",M91&lt;&gt;""),"",SUM(G91:I91))</x:f>
      </x:c>
      <x:c r="K91" s="7"/>
      <x:c r="L91" s="7"/>
      <x:c r="M91" s="14" t="str">
        <x:f>IF(A91="","",IF(COUNTIF($A$7:$A$106,A91)&lt;&gt;1,"Duplicate scope ID",IF(OR(K91="",L91=""),"Missing cause or revision evidence",IF(AND(I91&lt;&gt;"",NOT(ISNUMBER(I91))),"Non-numeric other change",IF(AND(ISNUMBER(G91),ISNUMBER(H91)),IF(D91="","Missing quantity unit",""),IF(AND(B91="",C91="",E91="",F91="",ISNUMBER(I91)),"","Incomplete change inputs"))))))</x:f>
      </x:c>
    </x:row>
    <x:row r="92" ht="26" customHeight="1">
      <x:c r="A92" s="16"/>
      <x:c r="B92" s="7"/>
      <x:c r="C92" s="7"/>
      <x:c r="D92" s="7"/>
      <x:c r="E92" s="8"/>
      <x:c r="F92" s="8"/>
      <x:c r="G92" s="15" t="str">
        <x:f>IF(A92="","",IF(AND(ISNUMBER(B92),ISNUMBER(C92),ISNUMBER(E92)),(C92-B92)*E92,""))</x:f>
      </x:c>
      <x:c r="H92" s="15" t="str">
        <x:f>IF(A92="","",IF(AND(ISNUMBER(C92),ISNUMBER(E92),ISNUMBER(F92)),C92*(F92-E92),""))</x:f>
      </x:c>
      <x:c r="I92" s="8"/>
      <x:c r="J92" s="15" t="str">
        <x:f>IF(OR(A92="",M92&lt;&gt;""),"",SUM(G92:I92))</x:f>
      </x:c>
      <x:c r="K92" s="7"/>
      <x:c r="L92" s="7"/>
      <x:c r="M92" s="14" t="str">
        <x:f>IF(A92="","",IF(COUNTIF($A$7:$A$106,A92)&lt;&gt;1,"Duplicate scope ID",IF(OR(K92="",L92=""),"Missing cause or revision evidence",IF(AND(I92&lt;&gt;"",NOT(ISNUMBER(I92))),"Non-numeric other change",IF(AND(ISNUMBER(G92),ISNUMBER(H92)),IF(D92="","Missing quantity unit",""),IF(AND(B92="",C92="",E92="",F92="",ISNUMBER(I92)),"","Incomplete change inputs"))))))</x:f>
      </x:c>
    </x:row>
    <x:row r="93" ht="26" customHeight="1">
      <x:c r="A93" s="16"/>
      <x:c r="B93" s="7"/>
      <x:c r="C93" s="7"/>
      <x:c r="D93" s="7"/>
      <x:c r="E93" s="8"/>
      <x:c r="F93" s="8"/>
      <x:c r="G93" s="15" t="str">
        <x:f>IF(A93="","",IF(AND(ISNUMBER(B93),ISNUMBER(C93),ISNUMBER(E93)),(C93-B93)*E93,""))</x:f>
      </x:c>
      <x:c r="H93" s="15" t="str">
        <x:f>IF(A93="","",IF(AND(ISNUMBER(C93),ISNUMBER(E93),ISNUMBER(F93)),C93*(F93-E93),""))</x:f>
      </x:c>
      <x:c r="I93" s="8"/>
      <x:c r="J93" s="15" t="str">
        <x:f>IF(OR(A93="",M93&lt;&gt;""),"",SUM(G93:I93))</x:f>
      </x:c>
      <x:c r="K93" s="7"/>
      <x:c r="L93" s="7"/>
      <x:c r="M93" s="14" t="str">
        <x:f>IF(A93="","",IF(COUNTIF($A$7:$A$106,A93)&lt;&gt;1,"Duplicate scope ID",IF(OR(K93="",L93=""),"Missing cause or revision evidence",IF(AND(I93&lt;&gt;"",NOT(ISNUMBER(I93))),"Non-numeric other change",IF(AND(ISNUMBER(G93),ISNUMBER(H93)),IF(D93="","Missing quantity unit",""),IF(AND(B93="",C93="",E93="",F93="",ISNUMBER(I93)),"","Incomplete change inputs"))))))</x:f>
      </x:c>
    </x:row>
    <x:row r="94" ht="26" customHeight="1">
      <x:c r="A94" s="16"/>
      <x:c r="B94" s="7"/>
      <x:c r="C94" s="7"/>
      <x:c r="D94" s="7"/>
      <x:c r="E94" s="8"/>
      <x:c r="F94" s="8"/>
      <x:c r="G94" s="15" t="str">
        <x:f>IF(A94="","",IF(AND(ISNUMBER(B94),ISNUMBER(C94),ISNUMBER(E94)),(C94-B94)*E94,""))</x:f>
      </x:c>
      <x:c r="H94" s="15" t="str">
        <x:f>IF(A94="","",IF(AND(ISNUMBER(C94),ISNUMBER(E94),ISNUMBER(F94)),C94*(F94-E94),""))</x:f>
      </x:c>
      <x:c r="I94" s="8"/>
      <x:c r="J94" s="15" t="str">
        <x:f>IF(OR(A94="",M94&lt;&gt;""),"",SUM(G94:I94))</x:f>
      </x:c>
      <x:c r="K94" s="7"/>
      <x:c r="L94" s="7"/>
      <x:c r="M94" s="14" t="str">
        <x:f>IF(A94="","",IF(COUNTIF($A$7:$A$106,A94)&lt;&gt;1,"Duplicate scope ID",IF(OR(K94="",L94=""),"Missing cause or revision evidence",IF(AND(I94&lt;&gt;"",NOT(ISNUMBER(I94))),"Non-numeric other change",IF(AND(ISNUMBER(G94),ISNUMBER(H94)),IF(D94="","Missing quantity unit",""),IF(AND(B94="",C94="",E94="",F94="",ISNUMBER(I94)),"","Incomplete change inputs"))))))</x:f>
      </x:c>
    </x:row>
    <x:row r="95" ht="26" customHeight="1">
      <x:c r="A95" s="16"/>
      <x:c r="B95" s="7"/>
      <x:c r="C95" s="7"/>
      <x:c r="D95" s="7"/>
      <x:c r="E95" s="8"/>
      <x:c r="F95" s="8"/>
      <x:c r="G95" s="15" t="str">
        <x:f>IF(A95="","",IF(AND(ISNUMBER(B95),ISNUMBER(C95),ISNUMBER(E95)),(C95-B95)*E95,""))</x:f>
      </x:c>
      <x:c r="H95" s="15" t="str">
        <x:f>IF(A95="","",IF(AND(ISNUMBER(C95),ISNUMBER(E95),ISNUMBER(F95)),C95*(F95-E95),""))</x:f>
      </x:c>
      <x:c r="I95" s="8"/>
      <x:c r="J95" s="15" t="str">
        <x:f>IF(OR(A95="",M95&lt;&gt;""),"",SUM(G95:I95))</x:f>
      </x:c>
      <x:c r="K95" s="7"/>
      <x:c r="L95" s="7"/>
      <x:c r="M95" s="14" t="str">
        <x:f>IF(A95="","",IF(COUNTIF($A$7:$A$106,A95)&lt;&gt;1,"Duplicate scope ID",IF(OR(K95="",L95=""),"Missing cause or revision evidence",IF(AND(I95&lt;&gt;"",NOT(ISNUMBER(I95))),"Non-numeric other change",IF(AND(ISNUMBER(G95),ISNUMBER(H95)),IF(D95="","Missing quantity unit",""),IF(AND(B95="",C95="",E95="",F95="",ISNUMBER(I95)),"","Incomplete change inputs"))))))</x:f>
      </x:c>
    </x:row>
    <x:row r="96" ht="26" customHeight="1">
      <x:c r="A96" s="16"/>
      <x:c r="B96" s="7"/>
      <x:c r="C96" s="7"/>
      <x:c r="D96" s="7"/>
      <x:c r="E96" s="8"/>
      <x:c r="F96" s="8"/>
      <x:c r="G96" s="15" t="str">
        <x:f>IF(A96="","",IF(AND(ISNUMBER(B96),ISNUMBER(C96),ISNUMBER(E96)),(C96-B96)*E96,""))</x:f>
      </x:c>
      <x:c r="H96" s="15" t="str">
        <x:f>IF(A96="","",IF(AND(ISNUMBER(C96),ISNUMBER(E96),ISNUMBER(F96)),C96*(F96-E96),""))</x:f>
      </x:c>
      <x:c r="I96" s="8"/>
      <x:c r="J96" s="15" t="str">
        <x:f>IF(OR(A96="",M96&lt;&gt;""),"",SUM(G96:I96))</x:f>
      </x:c>
      <x:c r="K96" s="7"/>
      <x:c r="L96" s="7"/>
      <x:c r="M96" s="14" t="str">
        <x:f>IF(A96="","",IF(COUNTIF($A$7:$A$106,A96)&lt;&gt;1,"Duplicate scope ID",IF(OR(K96="",L96=""),"Missing cause or revision evidence",IF(AND(I96&lt;&gt;"",NOT(ISNUMBER(I96))),"Non-numeric other change",IF(AND(ISNUMBER(G96),ISNUMBER(H96)),IF(D96="","Missing quantity unit",""),IF(AND(B96="",C96="",E96="",F96="",ISNUMBER(I96)),"","Incomplete change inputs"))))))</x:f>
      </x:c>
    </x:row>
    <x:row r="97" ht="26" customHeight="1">
      <x:c r="A97" s="16"/>
      <x:c r="B97" s="7"/>
      <x:c r="C97" s="7"/>
      <x:c r="D97" s="7"/>
      <x:c r="E97" s="8"/>
      <x:c r="F97" s="8"/>
      <x:c r="G97" s="15" t="str">
        <x:f>IF(A97="","",IF(AND(ISNUMBER(B97),ISNUMBER(C97),ISNUMBER(E97)),(C97-B97)*E97,""))</x:f>
      </x:c>
      <x:c r="H97" s="15" t="str">
        <x:f>IF(A97="","",IF(AND(ISNUMBER(C97),ISNUMBER(E97),ISNUMBER(F97)),C97*(F97-E97),""))</x:f>
      </x:c>
      <x:c r="I97" s="8"/>
      <x:c r="J97" s="15" t="str">
        <x:f>IF(OR(A97="",M97&lt;&gt;""),"",SUM(G97:I97))</x:f>
      </x:c>
      <x:c r="K97" s="7"/>
      <x:c r="L97" s="7"/>
      <x:c r="M97" s="14" t="str">
        <x:f>IF(A97="","",IF(COUNTIF($A$7:$A$106,A97)&lt;&gt;1,"Duplicate scope ID",IF(OR(K97="",L97=""),"Missing cause or revision evidence",IF(AND(I97&lt;&gt;"",NOT(ISNUMBER(I97))),"Non-numeric other change",IF(AND(ISNUMBER(G97),ISNUMBER(H97)),IF(D97="","Missing quantity unit",""),IF(AND(B97="",C97="",E97="",F97="",ISNUMBER(I97)),"","Incomplete change inputs"))))))</x:f>
      </x:c>
    </x:row>
    <x:row r="98" ht="26" customHeight="1">
      <x:c r="A98" s="16"/>
      <x:c r="B98" s="7"/>
      <x:c r="C98" s="7"/>
      <x:c r="D98" s="7"/>
      <x:c r="E98" s="8"/>
      <x:c r="F98" s="8"/>
      <x:c r="G98" s="15" t="str">
        <x:f>IF(A98="","",IF(AND(ISNUMBER(B98),ISNUMBER(C98),ISNUMBER(E98)),(C98-B98)*E98,""))</x:f>
      </x:c>
      <x:c r="H98" s="15" t="str">
        <x:f>IF(A98="","",IF(AND(ISNUMBER(C98),ISNUMBER(E98),ISNUMBER(F98)),C98*(F98-E98),""))</x:f>
      </x:c>
      <x:c r="I98" s="8"/>
      <x:c r="J98" s="15" t="str">
        <x:f>IF(OR(A98="",M98&lt;&gt;""),"",SUM(G98:I98))</x:f>
      </x:c>
      <x:c r="K98" s="7"/>
      <x:c r="L98" s="7"/>
      <x:c r="M98" s="14" t="str">
        <x:f>IF(A98="","",IF(COUNTIF($A$7:$A$106,A98)&lt;&gt;1,"Duplicate scope ID",IF(OR(K98="",L98=""),"Missing cause or revision evidence",IF(AND(I98&lt;&gt;"",NOT(ISNUMBER(I98))),"Non-numeric other change",IF(AND(ISNUMBER(G98),ISNUMBER(H98)),IF(D98="","Missing quantity unit",""),IF(AND(B98="",C98="",E98="",F98="",ISNUMBER(I98)),"","Incomplete change inputs"))))))</x:f>
      </x:c>
    </x:row>
    <x:row r="99" ht="26" customHeight="1">
      <x:c r="A99" s="16"/>
      <x:c r="B99" s="7"/>
      <x:c r="C99" s="7"/>
      <x:c r="D99" s="7"/>
      <x:c r="E99" s="8"/>
      <x:c r="F99" s="8"/>
      <x:c r="G99" s="15" t="str">
        <x:f>IF(A99="","",IF(AND(ISNUMBER(B99),ISNUMBER(C99),ISNUMBER(E99)),(C99-B99)*E99,""))</x:f>
      </x:c>
      <x:c r="H99" s="15" t="str">
        <x:f>IF(A99="","",IF(AND(ISNUMBER(C99),ISNUMBER(E99),ISNUMBER(F99)),C99*(F99-E99),""))</x:f>
      </x:c>
      <x:c r="I99" s="8"/>
      <x:c r="J99" s="15" t="str">
        <x:f>IF(OR(A99="",M99&lt;&gt;""),"",SUM(G99:I99))</x:f>
      </x:c>
      <x:c r="K99" s="7"/>
      <x:c r="L99" s="7"/>
      <x:c r="M99" s="14" t="str">
        <x:f>IF(A99="","",IF(COUNTIF($A$7:$A$106,A99)&lt;&gt;1,"Duplicate scope ID",IF(OR(K99="",L99=""),"Missing cause or revision evidence",IF(AND(I99&lt;&gt;"",NOT(ISNUMBER(I99))),"Non-numeric other change",IF(AND(ISNUMBER(G99),ISNUMBER(H99)),IF(D99="","Missing quantity unit",""),IF(AND(B99="",C99="",E99="",F99="",ISNUMBER(I99)),"","Incomplete change inputs"))))))</x:f>
      </x:c>
    </x:row>
    <x:row r="100" ht="26" customHeight="1">
      <x:c r="A100" s="16"/>
      <x:c r="B100" s="7"/>
      <x:c r="C100" s="7"/>
      <x:c r="D100" s="7"/>
      <x:c r="E100" s="8"/>
      <x:c r="F100" s="8"/>
      <x:c r="G100" s="15" t="str">
        <x:f>IF(A100="","",IF(AND(ISNUMBER(B100),ISNUMBER(C100),ISNUMBER(E100)),(C100-B100)*E100,""))</x:f>
      </x:c>
      <x:c r="H100" s="15" t="str">
        <x:f>IF(A100="","",IF(AND(ISNUMBER(C100),ISNUMBER(E100),ISNUMBER(F100)),C100*(F100-E100),""))</x:f>
      </x:c>
      <x:c r="I100" s="8"/>
      <x:c r="J100" s="15" t="str">
        <x:f>IF(OR(A100="",M100&lt;&gt;""),"",SUM(G100:I100))</x:f>
      </x:c>
      <x:c r="K100" s="7"/>
      <x:c r="L100" s="7"/>
      <x:c r="M100" s="14" t="str">
        <x:f>IF(A100="","",IF(COUNTIF($A$7:$A$106,A100)&lt;&gt;1,"Duplicate scope ID",IF(OR(K100="",L100=""),"Missing cause or revision evidence",IF(AND(I100&lt;&gt;"",NOT(ISNUMBER(I100))),"Non-numeric other change",IF(AND(ISNUMBER(G100),ISNUMBER(H100)),IF(D100="","Missing quantity unit",""),IF(AND(B100="",C100="",E100="",F100="",ISNUMBER(I100)),"","Incomplete change inputs"))))))</x:f>
      </x:c>
    </x:row>
    <x:row r="101" ht="26" customHeight="1">
      <x:c r="A101" s="16"/>
      <x:c r="B101" s="7"/>
      <x:c r="C101" s="7"/>
      <x:c r="D101" s="7"/>
      <x:c r="E101" s="8"/>
      <x:c r="F101" s="8"/>
      <x:c r="G101" s="15" t="str">
        <x:f>IF(A101="","",IF(AND(ISNUMBER(B101),ISNUMBER(C101),ISNUMBER(E101)),(C101-B101)*E101,""))</x:f>
      </x:c>
      <x:c r="H101" s="15" t="str">
        <x:f>IF(A101="","",IF(AND(ISNUMBER(C101),ISNUMBER(E101),ISNUMBER(F101)),C101*(F101-E101),""))</x:f>
      </x:c>
      <x:c r="I101" s="8"/>
      <x:c r="J101" s="15" t="str">
        <x:f>IF(OR(A101="",M101&lt;&gt;""),"",SUM(G101:I101))</x:f>
      </x:c>
      <x:c r="K101" s="7"/>
      <x:c r="L101" s="7"/>
      <x:c r="M101" s="14" t="str">
        <x:f>IF(A101="","",IF(COUNTIF($A$7:$A$106,A101)&lt;&gt;1,"Duplicate scope ID",IF(OR(K101="",L101=""),"Missing cause or revision evidence",IF(AND(I101&lt;&gt;"",NOT(ISNUMBER(I101))),"Non-numeric other change",IF(AND(ISNUMBER(G101),ISNUMBER(H101)),IF(D101="","Missing quantity unit",""),IF(AND(B101="",C101="",E101="",F101="",ISNUMBER(I101)),"","Incomplete change inputs"))))))</x:f>
      </x:c>
    </x:row>
    <x:row r="102" ht="26" customHeight="1">
      <x:c r="A102" s="16"/>
      <x:c r="B102" s="7"/>
      <x:c r="C102" s="7"/>
      <x:c r="D102" s="7"/>
      <x:c r="E102" s="8"/>
      <x:c r="F102" s="8"/>
      <x:c r="G102" s="15" t="str">
        <x:f>IF(A102="","",IF(AND(ISNUMBER(B102),ISNUMBER(C102),ISNUMBER(E102)),(C102-B102)*E102,""))</x:f>
      </x:c>
      <x:c r="H102" s="15" t="str">
        <x:f>IF(A102="","",IF(AND(ISNUMBER(C102),ISNUMBER(E102),ISNUMBER(F102)),C102*(F102-E102),""))</x:f>
      </x:c>
      <x:c r="I102" s="8"/>
      <x:c r="J102" s="15" t="str">
        <x:f>IF(OR(A102="",M102&lt;&gt;""),"",SUM(G102:I102))</x:f>
      </x:c>
      <x:c r="K102" s="7"/>
      <x:c r="L102" s="7"/>
      <x:c r="M102" s="14" t="str">
        <x:f>IF(A102="","",IF(COUNTIF($A$7:$A$106,A102)&lt;&gt;1,"Duplicate scope ID",IF(OR(K102="",L102=""),"Missing cause or revision evidence",IF(AND(I102&lt;&gt;"",NOT(ISNUMBER(I102))),"Non-numeric other change",IF(AND(ISNUMBER(G102),ISNUMBER(H102)),IF(D102="","Missing quantity unit",""),IF(AND(B102="",C102="",E102="",F102="",ISNUMBER(I102)),"","Incomplete change inputs"))))))</x:f>
      </x:c>
    </x:row>
    <x:row r="103" ht="26" customHeight="1">
      <x:c r="A103" s="16"/>
      <x:c r="B103" s="7"/>
      <x:c r="C103" s="7"/>
      <x:c r="D103" s="7"/>
      <x:c r="E103" s="8"/>
      <x:c r="F103" s="8"/>
      <x:c r="G103" s="15" t="str">
        <x:f>IF(A103="","",IF(AND(ISNUMBER(B103),ISNUMBER(C103),ISNUMBER(E103)),(C103-B103)*E103,""))</x:f>
      </x:c>
      <x:c r="H103" s="15" t="str">
        <x:f>IF(A103="","",IF(AND(ISNUMBER(C103),ISNUMBER(E103),ISNUMBER(F103)),C103*(F103-E103),""))</x:f>
      </x:c>
      <x:c r="I103" s="8"/>
      <x:c r="J103" s="15" t="str">
        <x:f>IF(OR(A103="",M103&lt;&gt;""),"",SUM(G103:I103))</x:f>
      </x:c>
      <x:c r="K103" s="7"/>
      <x:c r="L103" s="7"/>
      <x:c r="M103" s="14" t="str">
        <x:f>IF(A103="","",IF(COUNTIF($A$7:$A$106,A103)&lt;&gt;1,"Duplicate scope ID",IF(OR(K103="",L103=""),"Missing cause or revision evidence",IF(AND(I103&lt;&gt;"",NOT(ISNUMBER(I103))),"Non-numeric other change",IF(AND(ISNUMBER(G103),ISNUMBER(H103)),IF(D103="","Missing quantity unit",""),IF(AND(B103="",C103="",E103="",F103="",ISNUMBER(I103)),"","Incomplete change inputs"))))))</x:f>
      </x:c>
    </x:row>
    <x:row r="104" ht="26" customHeight="1">
      <x:c r="A104" s="16"/>
      <x:c r="B104" s="7"/>
      <x:c r="C104" s="7"/>
      <x:c r="D104" s="7"/>
      <x:c r="E104" s="8"/>
      <x:c r="F104" s="8"/>
      <x:c r="G104" s="15" t="str">
        <x:f>IF(A104="","",IF(AND(ISNUMBER(B104),ISNUMBER(C104),ISNUMBER(E104)),(C104-B104)*E104,""))</x:f>
      </x:c>
      <x:c r="H104" s="15" t="str">
        <x:f>IF(A104="","",IF(AND(ISNUMBER(C104),ISNUMBER(E104),ISNUMBER(F104)),C104*(F104-E104),""))</x:f>
      </x:c>
      <x:c r="I104" s="8"/>
      <x:c r="J104" s="15" t="str">
        <x:f>IF(OR(A104="",M104&lt;&gt;""),"",SUM(G104:I104))</x:f>
      </x:c>
      <x:c r="K104" s="7"/>
      <x:c r="L104" s="7"/>
      <x:c r="M104" s="14" t="str">
        <x:f>IF(A104="","",IF(COUNTIF($A$7:$A$106,A104)&lt;&gt;1,"Duplicate scope ID",IF(OR(K104="",L104=""),"Missing cause or revision evidence",IF(AND(I104&lt;&gt;"",NOT(ISNUMBER(I104))),"Non-numeric other change",IF(AND(ISNUMBER(G104),ISNUMBER(H104)),IF(D104="","Missing quantity unit",""),IF(AND(B104="",C104="",E104="",F104="",ISNUMBER(I104)),"","Incomplete change inputs"))))))</x:f>
      </x:c>
    </x:row>
    <x:row r="105" ht="26" customHeight="1">
      <x:c r="A105" s="16"/>
      <x:c r="B105" s="7"/>
      <x:c r="C105" s="7"/>
      <x:c r="D105" s="7"/>
      <x:c r="E105" s="8"/>
      <x:c r="F105" s="8"/>
      <x:c r="G105" s="15" t="str">
        <x:f>IF(A105="","",IF(AND(ISNUMBER(B105),ISNUMBER(C105),ISNUMBER(E105)),(C105-B105)*E105,""))</x:f>
      </x:c>
      <x:c r="H105" s="15" t="str">
        <x:f>IF(A105="","",IF(AND(ISNUMBER(C105),ISNUMBER(E105),ISNUMBER(F105)),C105*(F105-E105),""))</x:f>
      </x:c>
      <x:c r="I105" s="8"/>
      <x:c r="J105" s="15" t="str">
        <x:f>IF(OR(A105="",M105&lt;&gt;""),"",SUM(G105:I105))</x:f>
      </x:c>
      <x:c r="K105" s="7"/>
      <x:c r="L105" s="7"/>
      <x:c r="M105" s="14" t="str">
        <x:f>IF(A105="","",IF(COUNTIF($A$7:$A$106,A105)&lt;&gt;1,"Duplicate scope ID",IF(OR(K105="",L105=""),"Missing cause or revision evidence",IF(AND(I105&lt;&gt;"",NOT(ISNUMBER(I105))),"Non-numeric other change",IF(AND(ISNUMBER(G105),ISNUMBER(H105)),IF(D105="","Missing quantity unit",""),IF(AND(B105="",C105="",E105="",F105="",ISNUMBER(I105)),"","Incomplete change inputs"))))))</x:f>
      </x:c>
    </x:row>
    <x:row r="106" ht="26" customHeight="1">
      <x:c r="A106" s="16"/>
      <x:c r="B106" s="7"/>
      <x:c r="C106" s="7"/>
      <x:c r="D106" s="7"/>
      <x:c r="E106" s="8"/>
      <x:c r="F106" s="8"/>
      <x:c r="G106" s="15" t="str">
        <x:f>IF(A106="","",IF(AND(ISNUMBER(B106),ISNUMBER(C106),ISNUMBER(E106)),(C106-B106)*E106,""))</x:f>
      </x:c>
      <x:c r="H106" s="15" t="str">
        <x:f>IF(A106="","",IF(AND(ISNUMBER(C106),ISNUMBER(E106),ISNUMBER(F106)),C106*(F106-E106),""))</x:f>
      </x:c>
      <x:c r="I106" s="8"/>
      <x:c r="J106" s="15" t="str">
        <x:f>IF(OR(A106="",M106&lt;&gt;""),"",SUM(G106:I106))</x:f>
      </x:c>
      <x:c r="K106" s="7"/>
      <x:c r="L106" s="7"/>
      <x:c r="M106" s="14" t="str">
        <x:f>IF(A106="","",IF(COUNTIF($A$7:$A$106,A106)&lt;&gt;1,"Duplicate scope ID",IF(OR(K106="",L106=""),"Missing cause or revision evidence",IF(AND(I106&lt;&gt;"",NOT(ISNUMBER(I106))),"Non-numeric other change",IF(AND(ISNUMBER(G106),ISNUMBER(H106)),IF(D106="","Missing quantity unit",""),IF(AND(B106="",C106="",E106="",F106="",ISNUMBER(I106)),"","Incomplete change inputs"))))))</x:f>
      </x:c>
    </x:row>
  </x:sheetData>
  <x:pageMargins left="0.7" right="0.7" top="0.75" bottom="0.75" header="0.3" footer="0.3"/>
</x:worksheet>
</file>